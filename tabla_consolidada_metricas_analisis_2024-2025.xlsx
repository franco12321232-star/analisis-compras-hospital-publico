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42.xml"/>
  <Override ContentType="application/vnd.openxmlformats-officedocument.spreadsheetml.pivotTable+xml" PartName="/xl/pivotTables/pivotTable33.xml"/>
  <Override ContentType="application/vnd.openxmlformats-officedocument.spreadsheetml.pivotTable+xml" PartName="/xl/pivotTables/pivotTable41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40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35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34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47.xml"/>
  <Override ContentType="application/vnd.openxmlformats-officedocument.spreadsheetml.pivotTable+xml" PartName="/xl/pivotTables/pivotTable46.xml"/>
  <Override ContentType="application/vnd.openxmlformats-officedocument.spreadsheetml.pivotTable+xml" PartName="/xl/pivotTables/pivotTable3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48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45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49.xml"/>
  <Override ContentType="application/vnd.openxmlformats-officedocument.spreadsheetml.pivotTable+xml" PartName="/xl/pivotTables/pivotTable3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44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37.xml"/>
  <Override ContentType="application/vnd.openxmlformats-officedocument.spreadsheetml.pivotTable+xml" PartName="/xl/pivotTables/pivotTable43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8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4"/>
    <sheet state="visible" name="medicamentos farmacia" sheetId="2" r:id="rId5"/>
    <sheet state="visible" name="CALCULOS TABLA" sheetId="3" r:id="rId6"/>
    <sheet state="visible" name="Tabla dinámica 2024" sheetId="4" r:id="rId7"/>
    <sheet state="visible" name="tabla dinamica 2025" sheetId="5" r:id="rId8"/>
    <sheet state="visible" name="tabla dinamica total" sheetId="6" r:id="rId9"/>
    <sheet state="visible" name="TOTALES" sheetId="7" r:id="rId10"/>
    <sheet state="visible" name="semestre1_2024" sheetId="8" r:id="rId11"/>
    <sheet state="visible" name="semestre2_2024" sheetId="9" r:id="rId12"/>
    <sheet state="visible" name="semestre1_2025" sheetId="10" r:id="rId13"/>
    <sheet state="visible" name="semestre2_2025" sheetId="11" r:id="rId14"/>
    <sheet state="visible" name="resumen OC" sheetId="12" r:id="rId15"/>
  </sheets>
  <definedNames>
    <definedName hidden="1" localSheetId="0" name="_xlnm._FilterDatabase">consolidado!$A$1:$Z$195</definedName>
    <definedName hidden="1" localSheetId="6" name="_xlnm._FilterDatabase">TOTALES!$I$1:$J$43</definedName>
  </definedNames>
  <calcPr/>
  <pivotCaches>
    <pivotCache cacheId="0" r:id="rId16"/>
  </pivotCaches>
</workbook>
</file>

<file path=xl/sharedStrings.xml><?xml version="1.0" encoding="utf-8"?>
<sst xmlns="http://schemas.openxmlformats.org/spreadsheetml/2006/main" count="4443" uniqueCount="1596">
  <si>
    <t>codigoOC</t>
  </si>
  <si>
    <t>FechaEnvioOC</t>
  </si>
  <si>
    <t>NombreOC</t>
  </si>
  <si>
    <t>DescripcionOC</t>
  </si>
  <si>
    <t>MontoNetoOC</t>
  </si>
  <si>
    <t>DescuentosOC</t>
  </si>
  <si>
    <t>CargosOC</t>
  </si>
  <si>
    <t>ImpuestosOC</t>
  </si>
  <si>
    <t>MontoTotalOC</t>
  </si>
  <si>
    <t>UnidadCompra</t>
  </si>
  <si>
    <t>Proveedor</t>
  </si>
  <si>
    <t>ProveedorRUT</t>
  </si>
  <si>
    <t>ActividadProveedor</t>
  </si>
  <si>
    <t>TamanoProveedor</t>
  </si>
  <si>
    <t>RegionProveedor</t>
  </si>
  <si>
    <t>CodigoProductoONU</t>
  </si>
  <si>
    <t>DescripcionItem</t>
  </si>
  <si>
    <t>CantidadItem</t>
  </si>
  <si>
    <t>UnidadMedida</t>
  </si>
  <si>
    <t>MontoNetoItem</t>
  </si>
  <si>
    <t>MontoTotalItem</t>
  </si>
  <si>
    <t>CodigoCotizacion</t>
  </si>
  <si>
    <t>DescripcionCotizacion</t>
  </si>
  <si>
    <t>CodigoProductoCotizadoONU</t>
  </si>
  <si>
    <t>RUTProveedorCotizacion</t>
  </si>
  <si>
    <t>DetalleCotizacion</t>
  </si>
  <si>
    <t>1058012-6724-AG25</t>
  </si>
  <si>
    <t>URGENTE FARMACIA DOSIS UNITARIA ABRIL / BENRALIZUMAB 30 MG JGA</t>
  </si>
  <si>
    <t>PEDIDO URGENTE FARMACIA DOSIS UNITARIA ABRIL. COMPRA AGIL DESPACHO AEREO CARGO DEL PROVEEDOR. 1058012-191-COT25</t>
  </si>
  <si>
    <t>Fármarcos</t>
  </si>
  <si>
    <t>ASTRAZENECA SA</t>
  </si>
  <si>
    <t>76.447.530-5</t>
  </si>
  <si>
    <t>VENTA AL POR MAYOR DE PRODUCTOS FARMACEUTICOS</t>
  </si>
  <si>
    <t>Grande</t>
  </si>
  <si>
    <t>Región Metropolitana de Santiago</t>
  </si>
  <si>
    <t>BENRALIZUMAB 30 MG JERINGA PRELLENADA</t>
  </si>
  <si>
    <t>Unidad</t>
  </si>
  <si>
    <t>1058012-191-COT25</t>
  </si>
  <si>
    <t>EL HOSPITAL CLÍNICO DE MAGALLANES REQUIERE BENRALIZUMAB 30 MG JGA. INDICAR AL COTIZAR: VALOR UNITARIO TOTAL, PRESENTACIÓN (UD),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</si>
  <si>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Fármaco innovador y/o referente. Venc &gt; 1 año, despacho 2-3 días hábiles desde aceptación de orden de compra. Flete incluido. Cuando genere su OC, el rut de compra y dirección de despacho deben poseer autorización sanitaria vigente.</t>
  </si>
  <si>
    <t>1058012-1778-AG24</t>
  </si>
  <si>
    <t>(FAR) COMITÉ FARMACIA JULIO / RILPIVIRINA - CABOTEGRAVIR 900-600 MG FA</t>
  </si>
  <si>
    <t>PEDIDO COMITÉ FARMACIA JULIO. ADQUISICIÓN VÍA COMPRA ÁGIL. FLETE 72 HORAS HÁBILES SEGÚN COTIZACIÓN. REF 1058012-497-COT24.</t>
  </si>
  <si>
    <t>GLAXOSMITHKLINE CHILE FARMACEUTICA LIMITADA</t>
  </si>
  <si>
    <t>85.025.700-0</t>
  </si>
  <si>
    <t>FABRICACION DE PRODUCTOS FARMACEUTICOS, SUSTANCIAS QUIMICAS MEDICINALE</t>
  </si>
  <si>
    <t>RILPIRIVINA - CABOTEGRAVIR 900-600 MG FA</t>
  </si>
  <si>
    <t>Frasco Ampolla</t>
  </si>
  <si>
    <t>1058012-497-COT24</t>
  </si>
  <si>
    <t>EL HOSPITAL CLÍNICO DE MAGALLANES REQUIERE RILPIRIVINA - CABOTEGRAVIR 900-600 MG FA. INDICAR AL COTIZAR: VALOR UNITARIO TOTAL, PRESENTACIÓN (FA),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</si>
  <si>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Validez de la oferta 90 días. Facturación mínima $250.000.- neto. Vencimiento superior a doce meses, ENTREGA: 72Horas hábiles una vez aceptada la orden de compra. Condiciones Comerciales, Flete incluido. contacto gsk.ordenesdecompra@gsk.com</t>
  </si>
  <si>
    <t>1058012-61-AG24</t>
  </si>
  <si>
    <t>COMITÉ FARMACIA N°10 AÑO 2023/ RILPIRIVINA - CABOTEGRAVIR 900-600 MG FA</t>
  </si>
  <si>
    <t>PEDIDO COMITÉ FARMACIA N°10 AÑO 2023. COMPRA AGIL. FLETE AEREO CARGO DEL PROVEEDOR 1058012-15-COT24</t>
  </si>
  <si>
    <t>1058012-15-COT24</t>
  </si>
  <si>
    <t>EL HOSPITAL CLÍNICO DE MAGALLANES REQUIERE CABOTEGRAVIR/RILPIVIRINA 600/900 MF FA.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</si>
  <si>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Validez de la oferta 90 días. Facturación mínima $250.000.- neto. Vencimiento superior a doce meses, ENTREGA: 48 Horas hábiles una vez aceptada la orden de compra. Políticas de Devolución punto d), Flete incluido. contacto gsk.ordenesdecompra@gsk.com</t>
  </si>
  <si>
    <t>1058012-7475-AG25</t>
  </si>
  <si>
    <t>FALTA CENABAST FARMACIA AMBULATORIA JUNIO / DENOSUMAB 60 MG ML SOL INY</t>
  </si>
  <si>
    <t>PEDIDO FALTA CENABAST FARMACIA AMBULATORIA JUNIO. ADQUISICIÓN VÍA COMPRA ÁGIL. DESPACHO 7 DÍAS CARGO DEL PROVEEDOR SEGÚN COTIZACIÓN. ZGEN 100004663. REF 1058012-408-COT25.</t>
  </si>
  <si>
    <t>SCM PHARMA SPA</t>
  </si>
  <si>
    <t>77.337.544-5</t>
  </si>
  <si>
    <t>VENTA AL POR MAYOR DE PRODUCTOS FARMACEUTICOS Y MEDICINALES</t>
  </si>
  <si>
    <t>Mediana</t>
  </si>
  <si>
    <t>DENOSUMAB 60 MG ML SOLUCIÓN INYECTABLE</t>
  </si>
  <si>
    <t>1058012-408-COT25</t>
  </si>
  <si>
    <t>EL HOSPITAL CLÍNICO DE MAGALLANES REQUIERE DENOSUMAB 60 MG ML SOL INY. INDICAR AL COTIZAR: VALOR UNITARIO TOTAL, PRESENTACIÓN (UD),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</si>
  <si>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Se adjunta cotización detallada, Contacto F. 225104550, contacto@scmpharma.cl, Despacho sin costo, Envio 7 dias- monto mínimo de despacho $ 100.000.- Cotización valida por 15 días.</t>
  </si>
  <si>
    <t>1058012-7755-AG25</t>
  </si>
  <si>
    <t>FALTA CENABAST (SUSPENDIDO) JULIO / DENOSUMAB 60 MG ML SOL INY</t>
  </si>
  <si>
    <t>PEDIDO FALTA CENABAST (SUSPENDIDO) JULIO. ADQUISICIÓN VÍA COMPRA ÁGIL. DESPACHO 7 DÍAS CARGO DEL PROVEEDOR SEGÚN COTIZACIÓN. ZGEN 100004663. REF 1058012-465-COT25.</t>
  </si>
  <si>
    <t>1058012-465-COT25</t>
  </si>
  <si>
    <t>EL HOSPITAL CLÍNICO DE MAGALLANES REQUIERE DENOSUMAB 60 MG ML SOL INY. INDICAR AL COTIZAR: VALOR UNITARIO TOTAL, PRESENTACIÓN (UD), FECHA VCTO, ADJUNTAR FICHA TÉCNICA Y/O REGISTRO ISP, TIPO DE TRASLADO (ESPECIFICAR, PARA ACORDAR RETIRO CARGO HOSPITAL DE SER NECESARIO), E INDICAR SI CUENTA CON STOCK PARA DESPACHO INMEDIATO. SE DECLARARÁ INADMISIBLE OFERTA QUE INDIQUE VALOR REFERENCIAL $1, U OMITAN INFORMACIÓN Y DOCUMENTOS SOLICITADOS.</t>
  </si>
  <si>
    <t>1058012-1513-AG24</t>
  </si>
  <si>
    <t>FARMACIA DOSIS UNITARIA/ IBUPROFENO 10 MG/2 ML AMP</t>
  </si>
  <si>
    <t>PEDIDO FARMACIA DOSIS UNITARIA.COMPRA AGIL DESPACHO AÉREO, CARGO DEL PROVEEDOR. 1058012-420-COT24</t>
  </si>
  <si>
    <t>innovative medicines s.a . agencia en chile</t>
  </si>
  <si>
    <t>59.144.890-0</t>
  </si>
  <si>
    <t>venta al por menor de productos medicinales</t>
  </si>
  <si>
    <t>IBUPROFENO 10 MG/2 ML AMP</t>
  </si>
  <si>
    <t>Ampolla</t>
  </si>
  <si>
    <t>1058012-420-COT24</t>
  </si>
  <si>
    <t>EL HOSPITAL CLÍNICO DE MAGALLANES REQUIERE IBUPROFENO 10 MG/2 ML AMP 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</si>
  <si>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PRODUCTO PEDEA, autorizado en Chile bajo Resolución Exenta N° 33509 (adjunta), unidades en Chile disponibles para despacho inmediato, vencimiento 31.12.2025.</t>
  </si>
  <si>
    <t>1058012-862-AG24</t>
  </si>
  <si>
    <t>COMITÉ FARMACIA / CARBOXIMALTOSA DE HIERRO SOLUCIÓN INYECTABLE 500 MG/10 ML, AMP</t>
  </si>
  <si>
    <t>PEDIDO COMITÉ FARMACIA. COMPRA ÁGIL DESPACHO AÉREO CARGO DEL PROVEEDOR. 1058012-269-COT24</t>
  </si>
  <si>
    <t>LABORATORIOS ANDROMACO S.A.</t>
  </si>
  <si>
    <t>76.237.266-5</t>
  </si>
  <si>
    <t>FARMACEUTICO</t>
  </si>
  <si>
    <t>CARBOXIMALTOSA DE HIERRO SOLUCIÓN INYECTABLE 500 MG/10 ML, AMP</t>
  </si>
  <si>
    <t>1058012-269-COT24</t>
  </si>
  <si>
    <t>EL HOSPITAL CLÍNICO DE MAGALLANES REQUIERE CARBOXIMALTOSA DE HIERRO SOLUCIÓN INYECTABLE 500 MG/10 ML, AMP.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</si>
  <si>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22100383 FERINJECT SOLUCION INYECTABLE 500/10 ML - 500MG DE HIERRO COMO CARBOXIMALTOSA DE HIERRO - FRASCO DE SOLUCION INYECTABLE REG. ISP F-20175/23, FECHA DE VCTO 30-06-2026, DESPACHO EN 02 D?AS MONTO M?NIMO DE DESPACHO $300.000 NETO</t>
  </si>
  <si>
    <t>1058012-7375-AG25</t>
  </si>
  <si>
    <t>COMPRA ALTERNATIVA (7225) FALTA CENABAST/ RISPERIDONA 37,5 MG FA POLVO LIOFILIZADO</t>
  </si>
  <si>
    <t>PEDIDO COMPRA ALTERNATIVA(7225). COMPRA AGIL. DESPACHO A CARGO DEL PROVEEDOR. 1058012-380-COT25</t>
  </si>
  <si>
    <t>LABORATORIO C&amp;D PHARMA LIMITADA</t>
  </si>
  <si>
    <t>76.394.174-4</t>
  </si>
  <si>
    <t>RISPERIDONA 37,5 MG FA POLVO LIOFILIZADO</t>
  </si>
  <si>
    <t>1058012-380-COT25</t>
  </si>
  <si>
    <t>EL HCM REQUIERE RISPERIDONA 37,5 MG FA POLVO LIOFILIZADO.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</si>
  <si>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RISTRIONA RISPERIDONA POLVO PARA SUSPENSIÓN INYECTABLE DE LIBERACIÓN PROLONGADA 37,5 mg CON SOLVENTE REG ISP F-27100/22 FABRICANTE: LABORATORIO PHARMATHEN S.A., GRECIA PERIODO DE EFICACIA, 24 MESES</t>
  </si>
  <si>
    <t>1058012-4803-AG25</t>
  </si>
  <si>
    <t>FARMACIA AMBULATORIA MARZO / FLUTICASONA 50 MCG INH</t>
  </si>
  <si>
    <t>PEDIDO FARMACIA AMBULATORIA MARZO. ADQUISICIÓN VÍA COMPRA ÁGIL. DESPACHO 48 HRS. SEGÚN COTIZACIÓN. REF 1058012-161-COT25.</t>
  </si>
  <si>
    <t>FARMACIAS PEDRO ITURRIETA MELENDEZ E.I.R.L.</t>
  </si>
  <si>
    <t>76.764.759-K</t>
  </si>
  <si>
    <t>Pequeña</t>
  </si>
  <si>
    <t>FLUTICASONA 50 MCG INHALADOR BUCAL (ASMA BRONQUIAL)</t>
  </si>
  <si>
    <t>1058012-161-COT25</t>
  </si>
  <si>
    <t>EL HOSPITAL CLÍNICO DE MAGALLANES REQUIERE FLUTICASONA 50 MCG INHALADOR BUCAL (ASMA BRONQUIAL). INDICAR AL COTIZAR: VALOR UNITARIO TOTAL, PRESENTACIÓN (UD), FECHA VCTO, ADJUNTAR FICHA TÉCNICA Y/O REGISTRO ISP, TIPO DE TRASLADO CARGO PROVEEDOR (ESPECIFICAR, PARA ACORDAR RETIRO CARGO HOSPITAL DE SER NECESARIO), E INDICAR SI CUENTA CON STOCK PARA DESPACHO INMEDIATO. SE DECLARARÁ INADMISIBLE OFERTA QUE INDIQUE VALOR REFERENCIAL $0 o $1, U OMITAN INFORMACIÓN Y DOCUMENTOS SOLICITADOS.</t>
  </si>
  <si>
    <t>BREXOVENT LF INHBUC 50 MCG X 120 DSS vence 4/26 despacho GRATIS 48 horas una vez aceptada al OC se adjunta ficha fono: 992657125</t>
  </si>
  <si>
    <t>1058012-67-AG24</t>
  </si>
  <si>
    <t>COMITÉ FARMACIA/ RILUZOL 5 MG/ML JBE</t>
  </si>
  <si>
    <t>PEDIDO COMITÉ FARMACIA. COMPRA AGIL. FLETE CARGO DEL PROVEEDOR. COORDINAR CON RODRIGO BARRIA AL 61-2293466 1058012-20-COT24</t>
  </si>
  <si>
    <t>LABORATORIO CELNOVA CHILE SPA</t>
  </si>
  <si>
    <t>76.926.592-9</t>
  </si>
  <si>
    <t>Farmacéutico</t>
  </si>
  <si>
    <t>RILUZOL 5 MG/ML JBE</t>
  </si>
  <si>
    <t>Frasco</t>
  </si>
  <si>
    <t>1058012-20-COT24</t>
  </si>
  <si>
    <t>EL HOSPITAL CLÍNICO DE MAGALLANES REQUIERE RILUZOL 5 MG/ML JBE.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</si>
  <si>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TEGLUTIK SUSPENSIÓN ORAL 5 mg/mL (RILUZOL). Presentación: solución oral 5 mg/ml, frasco 300 ml. Vencimiento: 31-07-2025. Tipo de traslado: Aéreo, temperatura ambiente, despacho en 48 horas habiles. Contamos con Stock inmediato.</t>
  </si>
  <si>
    <t>1058012-7371-AG25</t>
  </si>
  <si>
    <t>FALTA CENABAST / GLUCAGON 1MG LIOF SOL INYECT FAM</t>
  </si>
  <si>
    <t>PEDIDO FALTA CENABAST. COMPRA AGIL. DESPACHO A CARGO DEL PROVEEDOR. 1058012-372-COT25</t>
  </si>
  <si>
    <t>LABORATORIO ACONFAR CHILE LIMITADA</t>
  </si>
  <si>
    <t>76.125.564-9</t>
  </si>
  <si>
    <t>SERVICIOS DE ENVASADO Y EMPAQUE| OTROS PROFESIONALES DE LA SALUD| OTRAS ACTIVIDADES EMPRESARIALES RELACIONADAS CON LA SALUD HUMANA</t>
  </si>
  <si>
    <t>GLUCAGON 1MG LIOF SOL INYECT FAM</t>
  </si>
  <si>
    <t>1058012-372-COT25</t>
  </si>
  <si>
    <t>EL HCM REQUIERE GLUCAGON 1MG LIOF SOL INYECT FAM.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</si>
  <si>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JOR. FACTURACION MINIMA $50.000+IVA PARA SANTIAGO Y $75.000+IVA PARA REGIONES, DESPACHO: STGO 24-48 HR Y REGIONES 72 HR, UNIDAD MIN. COTIZADA, SE AJUSTARÁ A FACTOR DE EMPAQUE, REG.ISP, FACT.ELECTRONICA. STOCK DISPONIBLE PARA ENTREGA INMEDIATA.</t>
  </si>
  <si>
    <t>1058012-2929-AG24</t>
  </si>
  <si>
    <t>FARMACIA AMBULATORIA DICIEMBRE / SOFOSBUVIR-VELPATASVIR 400-100 MG CM</t>
  </si>
  <si>
    <t>PEDIDO FARMACIA AMBULATORIA DICIEMBRE. ADQUISICIÓN VÍA COMPRA ÁGIL. FLETE 3 DÍAS HÁBILES CARGO DEL PROVEEDOR. REF 1058012-671-COT24.</t>
  </si>
  <si>
    <t>GADOR LIMITADA</t>
  </si>
  <si>
    <t>76.084.945-6</t>
  </si>
  <si>
    <t>FABRICACION DE PRODUCTOS FARMACEUTICOS, SUSTANCIAS QUIMICAS MEDICINALE| FABRICACION DE OTROS PRODUCTOS QUIMICOS N.C.P.| FABRICACION DE EQUIPO MEDICO Y QUIRURGICO, Y DE APARATOS ORTOPEDICOS| VENTA AL POR MAYOR DE OTROS PRODUCTOS N.C.P.</t>
  </si>
  <si>
    <t>SOFOSBUVIR-VELPATASVIR 400-100 MG CM</t>
  </si>
  <si>
    <t>Comprimido</t>
  </si>
  <si>
    <t>1058012-671-COT24</t>
  </si>
  <si>
    <t>EL HOSPITAL CLÍNICO DE MAGALLANES REQUIERE SOFOSBUVIR-VELPATASVIR 400-100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</si>
  <si>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EPCLUSA 400/100 COMPRIMIDOS RECUBIERTOS SOFOSBUVIR 400 mg - VELPATASVIR 100mg, REFERENTE Estuche contiene 28 comprimidos recubiertos, Reg. ISP.- F-23583-22, Vcto: 30-04-2027, Plazo Entrega: 3 días hábiles, PRECIO ESTUCHE:$1.428.000</t>
  </si>
  <si>
    <t>1058012-3013-AG24</t>
  </si>
  <si>
    <t>FARMACIA AMBULATORIA URGENTE DICIEMBRE / SOFOSBUVIR-VELPATASVIR 400-100 MG CM</t>
  </si>
  <si>
    <t>PEDIDO FARMACIA AMBULATORIA URGENTE DICIEMBRE . COMPRA AGIL DESPACHO AÉREO CARGO DEL PROVEEDOR. 1058012-684-COT24</t>
  </si>
  <si>
    <t>1058012-684-COT24</t>
  </si>
  <si>
    <t>EPCLUSA 400/100 COMPRIMIDOS RECUBIERTOS SOFOSBUVIR 400 mg - VELPATASVIR 100mg, REFERENTE Estuche contiene 28 comprimidos recubiertos, Reg. ISP.- F-23583/22, Vcto: 30-04-2027, Plazo Ent: 3 dias hábiles, Valor ofertado x Unidad. STOCK DESPACHO INMEDIATO</t>
  </si>
  <si>
    <t>1058012-7820-AG25</t>
  </si>
  <si>
    <t>FARMACIA DU JULIO / METILPREDNISOLONA ACETATO 80 MG</t>
  </si>
  <si>
    <t>FARMACIA DU JULIO ADQUISICION A TRAVES DE COMPRA AGIL DESPACHO 24 A 48 HORAS CARGO DEL PROVEEDOR 100001027 REF: 1058012-459-COT25</t>
  </si>
  <si>
    <t>PFIZER CHILE S.A.</t>
  </si>
  <si>
    <t>96.981.250-9</t>
  </si>
  <si>
    <t>FABRICACION DE PRODUCTOS DE CONFITERIA| FABRICACION DE PRODUCTOS FARMACEUTICOS, SUSTANCIAS QUIMICAS MEDICINALE| FABRICACIONES DE JABONES Y DETERGENTES, PREPARADOS PARA LIMPIAR, PERFU</t>
  </si>
  <si>
    <t>METILPREDNISOLONA ACETATO 80 MG.</t>
  </si>
  <si>
    <t>1058012-459-COT25</t>
  </si>
  <si>
    <t>EL HCM REQUIERE METILPREDNISOLONA ACETATO 80 MG.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</si>
  <si>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DEPOMEDROL 80MG - ML - METILPREDNISOLONA. de PFIZER. Precio corresponde a 1 frasco ampolla. Envase de venta caja x 1 Frasco Ampolla. REGISTRO ISP N° F-1276-23 Vencimiento 31-05-2026. Con carta de canje.</t>
  </si>
  <si>
    <t>1058012-845-AG24</t>
  </si>
  <si>
    <t>PEDIDO FARMACIA DOSIS UNITARIA/ METILPREDNISOLONA ACETATO 80 MG</t>
  </si>
  <si>
    <t>PEDIDO F. DOSIS UNITARIA. COMPRA AGIL DESPACHO AÉREO CARGO DEL PROVEEDOR. 1058012-262-COT24 100001027</t>
  </si>
  <si>
    <t>METILPREDNISOLONA ACETATO 80 MG</t>
  </si>
  <si>
    <t>1058012-262-COT24</t>
  </si>
  <si>
    <t>EL HOSPITAL CLÍNICO DE MAGALLANES REQUIERE METILPREDNISOLONA ACETATO 80 MG.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</si>
  <si>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DEPOMEDROL 80MG - ML - METILPREDNISOLONA. de PFIZER. Precio corresponde a 1 frasco ampolla. Envase de venta caja x 1 F A. REG ISP N° F-1276-23. Vencimiento 31-07-2025. Flete incluido en el precio.</t>
  </si>
  <si>
    <t>1058012-7670-AG25</t>
  </si>
  <si>
    <t>FARMACIA AMBULATORIA JULIO / PANCREOLIPASA 5.000 UI GRANULOS</t>
  </si>
  <si>
    <t>PEDIDO FARMACIA AMBULATORIA JULIO. ADQUISICIÓN VÍA COMPRA ÁGIL. DESPACHO 3 DÍAS CARGO DEL PROVEEDOR SEGÚN COTIZACIÓN. REF 1058012-447-COT25.</t>
  </si>
  <si>
    <t>LABORATORIOS RECALCINE SA</t>
  </si>
  <si>
    <t>91.637.000-8</t>
  </si>
  <si>
    <t>FABRICACION DE PRODUCTOS FARMACEUTICOS, SUSTANCIAS QUIMICAS MEDICINALE| VENTA AL POR MAYOR DE OTROS PRODUCTOS N.C.P.| OTRAS ACTIVIDADES EMPRESARIALES N.C.P.</t>
  </si>
  <si>
    <t>PANCREOLIPASA 5.000 UI GRANULOS FRASCO 20 GR.</t>
  </si>
  <si>
    <t>1058012-447-COT25</t>
  </si>
  <si>
    <t>EL HOSPITAL CLÍNICO DE MAGALLANES REQUIERE PANCREOLIPASA 5.000 UI GRANULOS FRASCO 20 GR. INDICAR AL COTIZAR: VALOR UNITARIO TOTAL, PRESENTACIÓN (FCO),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</si>
  <si>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882352 CREON 5.000 FRASCO 20 MG PA PANCREATINA REG ISP B-2707/23 VENCE 30-04-2027 STOCK DESPACHO INMEDIATO COTIZACIÓN LABORATORIOS RECALCINE FLETE INCLUIDO DESPACHO EN 2 DÍAS/48 HORAS MÍN DE FACTURACIÓN 100.000 SE COTIZAN VALORES NETOS</t>
  </si>
  <si>
    <t>1058012-1806-AG24</t>
  </si>
  <si>
    <t>(FAR) COMPRA ALTERNATIVA STOCK CRÍTICO FARMACIA AMBULATORIA JUNIO / FLUTICASONA PROPIONATO MICRONIZADO 50 MCG INH ORAL</t>
  </si>
  <si>
    <t>COMPRA ALTERNATIVA POR FALTA DE STOCK EN PROVEEDOR OC N° 1058012-1651-AG24. FLETE 3 DÍAS SEGÚN COTIZACIÓN. REF 1058012-506-COT24.</t>
  </si>
  <si>
    <t>DROGUERÍA ACONCAGUA SPA</t>
  </si>
  <si>
    <t>76.985.933-0</t>
  </si>
  <si>
    <t>Micro</t>
  </si>
  <si>
    <t>FLUTICASONA PROPIONATO MICRONIZADO 50 MCG AEROSOL PARA INHALACION ORAL (SIN ALCOHOL)</t>
  </si>
  <si>
    <t>1058012-506-COT24</t>
  </si>
  <si>
    <t>EL HOSPITAL CLÍNICO DE MAGALLANES REQUIERE FLUTICASONA PROPIONATO MICRONIZADO 50 MCG INH ORAL. INDICAR AL COTIZAR: VALOR UNITARIO TOTAL, PRESENTACIÓN (ML),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</si>
  <si>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SE ADJUNTA COTIZACIÓN FORMAL Y FICHA DE PRODUCTO CON VENCE MAYOR A 12 MESES. PLAZO DE ENTREGA 2 A 3 DÍAS LUEGO DE EMITIDA LA ÓRDEN DE COMPRA. MÍNIMO DE DESPACHO 180.000 PESOS. REPRESENTANTE DE VENTA MARCEL ACUÑA. 9 75770902 VENTAS2@DROGUERIAACONCAGUA.CL</t>
  </si>
  <si>
    <t>1058012-1651-AG24</t>
  </si>
  <si>
    <t>STOCK CRÍTICO FARMACIA AMBULATORIA JUNIO / FLUTICASONA PROPIONATO MICRONIZADO 50 MCG INH ORAL</t>
  </si>
  <si>
    <t>PEDIDO STOCK CRÍTICO FARMACIA AMBULATORIA JUNIO. ADQUISICIÓN VÍA COMPRA ÁGIL. FLETE 48 HRS. SEGÚN COTIZACIÓN. REF 1058012-457-COT24</t>
  </si>
  <si>
    <t>ADN FARMACEUTICA SPA</t>
  </si>
  <si>
    <t>76.786.297-0</t>
  </si>
  <si>
    <t>DROGUERIA</t>
  </si>
  <si>
    <t>1058012-457-COT24</t>
  </si>
  <si>
    <t>EL HOSPITAL CLÍNICO DE MAGALLANES REQUIERE FLUTICASONA PROPIONATO MICRONIZADO 50 MCG AEROSOL PARA INHALACION ORAL (SIN ALCOHOL). INDICAR AL COTIZAR: VALOR UNITARIO TOTAL, PRESENTACIÓN (UD),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</si>
  <si>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FLIXOTIDE LF INH 50 MCG X 120 DS*ENTREGA DE 24 A 48 HORAS, VENCE SUPERIOR A 12 MESES, DESPACHO INCLUIDO EN EL PRECIO, SIN MINIMO DE COMPRA, OFERENTE Ximena Silva/9-57438894/xsilva@adnfarmaceutica.cl</t>
  </si>
  <si>
    <t>1058012-7391-AG25</t>
  </si>
  <si>
    <t>FALTA CENABAST JUNIO/METILPREDNISOLONA 1 G LIOF IV-IM FAM</t>
  </si>
  <si>
    <t>PEDIDO FALTA CENABAST JUNIO. COMPRA ÁGIL. DESPACHO A CARGO DEL PROVEEDOR. 1058012-374-COT25</t>
  </si>
  <si>
    <t>METILPREDNISOLONA 1G LIOF IV-IM FAN</t>
  </si>
  <si>
    <t>1058012-374-COT25</t>
  </si>
  <si>
    <t>EL HCM REQUIERE METILPREDNISOLONA 1G LIOF IV-IM FAN.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</si>
  <si>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SOLU MEDROL 1 GR ACT-O-VIAL METILPREDNISOLONA HEMISUCCINATO DE PFIZER. Precio corresponde a 1 frasco ampolla. Envase de venta caja x 1 frasco Ampolla. REGISTRO ISP N° F-2816-24. Vencimiento: 30-09-2026. MONTO MINIMO PARA DESPACHO 100.000</t>
  </si>
  <si>
    <t>1058012-7390-AG25</t>
  </si>
  <si>
    <t>FALTA CENABAST/DESMOPRESINA 100 MCG/1ML FRA 5 A 6 ML</t>
  </si>
  <si>
    <t>PEDIDO FALTA CENABAST. COMPRA ÁGIL. DESPACHO A CARGO DEL PROVEEDOR. 1058012-370-COT25</t>
  </si>
  <si>
    <t>BPH S.A.</t>
  </si>
  <si>
    <t>96.519.830-k</t>
  </si>
  <si>
    <t>VENTA AL POR MAYOR DE PRODUCTOS QUIMICOS</t>
  </si>
  <si>
    <t>DESMOPRESINA 100 MCG/1ML FRA 5 A 6 ML</t>
  </si>
  <si>
    <t>1058012-370-COT25</t>
  </si>
  <si>
    <t>EL HCM REQUIERE DESMOPRESINA 100 MCG/1ML FRA 5 A 6 ML.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</si>
  <si>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DESMOPRESINA ACET. SLN NASAL 10 MCG/D FC 5 ML EAN:7800086789003	VC:31-12-2026 REG:F-26040 EX1.SE COTIZA PRECIO NETO POR FC PARA DESPACHO 2 DIAS, MONTO MINIMO A FACTURAR Y DESPACHAR $120.000 NETO. PIA MARTINICH VENTAS6@BPH.CL</t>
  </si>
  <si>
    <t>1058012-1512-AG24</t>
  </si>
  <si>
    <t>COMITÉ FARMACIA MAYO / AMBRISENTÁN 10 MG CM</t>
  </si>
  <si>
    <t>PEDIDO COMITÉ FARMACIA MAYO. ADQUISICIÓN VÍA COMPRA ÁGIL. FLETE 3 DÍA HÁBILES SEGÚN COTIZACIÓN. REF 1058012-370-COT24. COMITÉ FARMACIA N°4 DEL 29-04-2024.</t>
  </si>
  <si>
    <t>AMBRISENTAM 10 MG CM</t>
  </si>
  <si>
    <t>1058012-370-COT24</t>
  </si>
  <si>
    <t>EL HOSPITAL CLÍNICO DE MAGALLANES REQUIERE AMBRISENTAM 10 MG CM. INDICAR AL COTIZAR: VALOR UNITARIO TOTAL, PRESENTACIÓN (CM), FECHA VCTO, ADJUNTAR FICHA TÉCNICA Y/O REGISTRO ISP, TIPO DE TRASLADO CARGO PROVEEDOR. (ESPECIFICAR, PARA ACORDAR RETIRO CARGO HOSPITAL DE SER NECESARIO), E INDICAR SI CUENTA CON STOCK PARA DESPACHO INMEDIATO. SE DESESTIMARÁ OFERTA QUE INDIQUE VALOR REFERENCIAL $0 o $1, U OMITAN INFORMACIÓN Y NO ADJUNTEN DOCUMENTOS.</t>
  </si>
  <si>
    <t>60000000109532 VOLIBRIS 10mg x 30 Comprimidos recubiertos (I) AMBRISENTÁN VENCIMIENTO:Mayor a 12 Meses - ISP: F-22308/20. Despacho 3 días hábiles. Monto mínimo $250.000 Netos.</t>
  </si>
  <si>
    <t>1058012-6874-AG25</t>
  </si>
  <si>
    <t>URGENTE FARMACIA AMBULATORIA ABRIL / RH-DORNASA-ALFA SOL. INHALACION 2,5 MG 2,5 ML AMP</t>
  </si>
  <si>
    <t>PEDIDO URGENTE FARMACIA AMBULATORIA ABRIL. ADQUISICIÓN VÍA COMPRA ÁGIL. DESPACHO 3 A 5 DÍAS CARGO DEL PROVEEDOR SEGÚN COTIZACIÓN REF 1058012-239-COT25.</t>
  </si>
  <si>
    <t>CLINICAL MARKET S.A.</t>
  </si>
  <si>
    <t>76.111.113-2</t>
  </si>
  <si>
    <t>VENTA AL POR MAYOR DE PRODUCTOS FARMACEUTICOS| VENTA AL POR MENOR DE OTROS PRODUCTOS EN PEQUENOS ALMACENES NO ESPECIA| SOCIEDADES DE INVERSION Y RENTISTAS DE CAPITALES MOBILIARIOS EN GENERA| EMPRESAS DE ASESORIA, CONSULTORIA FINANCIERA Y DE APOYO AL GIRO</t>
  </si>
  <si>
    <t>RH-DORNASA-ALFA SOL. INHALACION 2,5 MG 2,5 ML AMP</t>
  </si>
  <si>
    <t>1058012-239-COT25</t>
  </si>
  <si>
    <t>EL HOSPITAL CLÍNICO DE MAGALLANES REQUIERE RH-DORNASA-ALFA SOL. INHALACION 2,5 MG 2,5 ML AMP. INDICAR AL COTIZAR: VALOR UNITARIO TOTAL, PRESENTACIÓN (ML),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SOLICITADA.</t>
  </si>
  <si>
    <t>VISCOZYME 2.5MG 2.5ML X 30 AMP RH-Dornasa Alfa. REG. ISP B-2934/22. PROCEDENTE F. HOFFMANN - LA ROCHE LTD. SUIZA Vence:31-03-2026. Stock disponible. Entrega 3 a 5 días.</t>
  </si>
  <si>
    <t>1058012-7452-AG25</t>
  </si>
  <si>
    <t>FALTA CENABAST / ALBUMINA HUMANA 20% SOL. PERF.IV FAM 50ML</t>
  </si>
  <si>
    <t>PEDIDO FALTAS CENABAST JUNIO. COMPRA AGIL. DESPACHO A CARGO DEL PROVEEDOR. 1058012-397-COT25</t>
  </si>
  <si>
    <t>GRIFOLS CHILE S A</t>
  </si>
  <si>
    <t>96.582.310-7</t>
  </si>
  <si>
    <t>VENTA AL POR MAYOR DE OTROS PRODUCTOS N.C.P.| LABORATORIOS CLINICOS INCLUYE BANCOS DE SANGRE</t>
  </si>
  <si>
    <t>ALBUMINA HUMANA 20% SOL. PERF.IV FAM 50ML</t>
  </si>
  <si>
    <t>1058012-397-COT25</t>
  </si>
  <si>
    <t>EL HCM REQUIERE ALBUMINA HUMANA 20% SOL. PERF.IV FAM 50ML.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</si>
  <si>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COD.734005 ALBUMINA HUMANA al 20% 50 ML. Fecha de entrega 2 días hábiles una vez recibida la OC, FA envase unitario. Vcto Mayor a 12 meses. Reg ISP B-1043/21</t>
  </si>
  <si>
    <t>1058012-7481-AG25</t>
  </si>
  <si>
    <t>COMITÉ FARMACIA JUNIO / AMBRISENTÁN 10 MG CM</t>
  </si>
  <si>
    <t>PEDIDO COMITÉ FARMACIA JUNIO. ADQUISICIÓN VÍA COMPRA ÁGIL. DESPACHO 72 HRS CARGO DEL PROVEEDOR SEGÚN COTIZACIÓN. ZGEN 100003751. REF 1058012-428-COT25.</t>
  </si>
  <si>
    <t>AMBRISETAN 10 MG CM</t>
  </si>
  <si>
    <t>1058012-428-COT25</t>
  </si>
  <si>
    <t>EL HOSPITAL CLÍNICO DE MAGALLANES REQUIERE AMBRISETAN 10 MG CM. INDICAR AL COTIZAR: VALOR UNITARIO TOTAL, PRESENTACIÓN (CM),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</si>
  <si>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Validez de la oferta 90 días. Facturación mínima $500.000.- neto. Vencimiento superior a doce meses, ENTREGA: 72 Horas hábiles una vez aceptada la orden de compra. Condiciones Comerciales punto 10, Flete incluido. contacto gsk.ordenesdecompra@gsk.com</t>
  </si>
  <si>
    <t>1058012-3977-AG23</t>
  </si>
  <si>
    <t>FARMACIA PROG. VIH / LECHE SUSTITUTA DE LECHE MATERNA</t>
  </si>
  <si>
    <t>PEDIDO FARMACIA [PROGR. VIH]. ADQUISIÓN VÍA COMPRA ÁGIL. FLETE CARGO DEL PROVEEDOR. REF 1058012-766-COT23</t>
  </si>
  <si>
    <t>ACQUA INVERSIONES SPA</t>
  </si>
  <si>
    <t>77.423.498-5</t>
  </si>
  <si>
    <t>VENTA AL POR MAYOR NO ESPECIALIZADA</t>
  </si>
  <si>
    <t>N/A</t>
  </si>
  <si>
    <t>LECHE SUSTITUTA DELECHE MATERNA NAN 1 800 GR.</t>
  </si>
  <si>
    <t>Tarro</t>
  </si>
  <si>
    <t>1058012-766-COT23</t>
  </si>
  <si>
    <t>EL HOSPITAL CLÍNICO DE MAGALLANES REQUIERE LECHE SUSTITUTA DELECHE MATERNA NAN 1 900 GR.. INDICAR AL COTIZAR: VALOR UNITARIO TOTAL, PRESENTACIÓN (GR),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</si>
  <si>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COSTO FLETE INCLUIDO, DESPACHO DE 24 A 48 HORAS, UNA VEZ ACEPTADA LA ORDEN DE COMPRA, SIN MÍNIMO DE FACTURACIÓN, VENCE SUPERIOR A 12 MESES (DSR) dsanchezr@acquainversiones.cl contacto +569 3582 9651</t>
  </si>
  <si>
    <t>1058012-7412-AG25</t>
  </si>
  <si>
    <t>COMITÉ FARMACIA JUNIO / DEUCRAVACITINIB 6 MG CM</t>
  </si>
  <si>
    <t>PEDIDO COMITÉ FARMACIA JUNIO. ADQUISICIÓN VÍA COMPRA ÁGIL. DESPACHO 3 DÍAS CARGO DEL PROVEEDOR SEGÚN COTIZACIÓN. REF 1058012-398-COT25.</t>
  </si>
  <si>
    <t>DEUCRAVACITINIB 6 MG CM</t>
  </si>
  <si>
    <t>1058012-398-COT25</t>
  </si>
  <si>
    <t>EL HOSPITAL CLÍNICO DE MAGALLANES REQUIERE DEUCRAVACITINIB 6 MG CM. INDICAR AL COTIZAR: VALOR UNITARIO TOTAL, PRESENTACIÓN (CM),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</si>
  <si>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SOTYKTU 6 MG X 30 COMP. vence 10/26 despacho GRATIS 48 horas una vez aceptada al OC se adjunta ficha fono: 992657125</t>
  </si>
  <si>
    <t>1058012-6888-AG25</t>
  </si>
  <si>
    <t>FALTA CENABAST MARZO / CICLOFOSFAMIDA 1G FA POLVO LIOFILIZADO</t>
  </si>
  <si>
    <t>PEDIDO FALTA CENABAST MARZO SIN RECEPCION. COMPRA AGIL DESPACHO 2 DIAS CARGO DEL PROVEEDOR. (DE ACUERDO A LO OFERTADO) 1058012-235-COT25</t>
  </si>
  <si>
    <t>CICLOFOSFAMIDA 1G FA POLVO LIOFILIZADO</t>
  </si>
  <si>
    <t>1058012-235-COT25</t>
  </si>
  <si>
    <t>EL HCM REQUIERE CICLOFOSFAMIDA 1G FA POLVO LIOFILIZADO.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$0 o $1. SE DEJARA INADMISIBLE LA OFERTA QUE SOBREPASE EL VALOR DEL MONTO ESTIMADO O NO CUMPLA CON LOS DIAS Y DOC. SOLICITADOS.</t>
  </si>
  <si>
    <t>ENDOXAN AMP. 1GR. CX1 CICLOFOSFAMIDA ENTREGA DE 24 A 48 HRS, VENCE MAS DE 12 MESES, DESPACHO C/FACTURA INCLUIDO EN EL PRECIO, SIN MINIMO DE COMPRA,CON POLITICA DE CANJE, OFERENTE Ximena Silva/9-57438894/xsilva@adnfarmaceutica.cl</t>
  </si>
  <si>
    <t>1058012-7861-AG25</t>
  </si>
  <si>
    <t>FARMACIA AMBULATORIA JULIO-DICIEMBRE / LEVETIRACETAM 100 MG ML</t>
  </si>
  <si>
    <t>PEDIDO FARMACIA AMBULATORIA JULIO-DICIEMBRE. ADQUISICIÓN VÍA COMPRA ÁGIL. DESPACHO 72 HORAS HÁBILES CARGO DEL PROVEEDOR SEGÚN COTIZACIÓN. REF 1058012-494-COT25.</t>
  </si>
  <si>
    <t>LEVETIRACETAM 100 MG ML TIPO KEPPRA</t>
  </si>
  <si>
    <t>1058012-494-COT25</t>
  </si>
  <si>
    <t>EL HOSPITAL CLÍNICO DE MAGALLANES REQUIERE LEVETIRACETAM 100 MG ML TIPO KEPPRA. INDICAR AL COTIZAR: VALOR UNITARIO TOTAL, PRESENTACIÓN (FC),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Y/O DOCUMENTOS SOLICITADOS.</t>
  </si>
  <si>
    <t>1058012-8222-AG25</t>
  </si>
  <si>
    <t>FARMACIA AMBULATORIA AGOSTO / CARBAMAZEPINA 100 MG 5 ML SO JBE</t>
  </si>
  <si>
    <t>PEDIDO FARMACIA AMBULATORIA AGOSTO. REF 1058012-533-COT25. DESPACHO 72 HORAS CARGO DEL PROVEEDOR SEGÚN COTIZACIÓN. ZGEN 100005816.</t>
  </si>
  <si>
    <t>CARBAMAZEPINA 100 MG 5 ML SO JBE</t>
  </si>
  <si>
    <t>1058012-533-COT25</t>
  </si>
  <si>
    <t>EL HOSPITAL CLÍNICO DE MAGALLANES REQUIERE CARBAMAZEPINA 100 MG 5 ML SO JBE (TIPO TEGRETAL). INDICAR AL COTIZAR: VALOR UNITARIO TOTAL, PRESENTACIÓN (FCO),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</si>
  <si>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JT FACTURAC. MÍN. $ 50.000+IVA STGO $ 75.000+IVA REGIONES. SI MONTO SUPERA 100 UTM, SE SUBIRÁN A $ 1 PARA OFERTAR.PLAZO ENTREGA STGO.24-48 hrs. REGIONES 48-72 hrs. (según cobertura O.L) FAVOR RESPETAR FACTOR EMPAQUE (para comp. inyectables y sueros).</t>
  </si>
  <si>
    <t>1058012-6779-AG25</t>
  </si>
  <si>
    <t>FARMACIA AMBULATORIA ABRIL / BIFIDOBACTERIUM BB-12 PROBIOTICOS EN GOTAS</t>
  </si>
  <si>
    <t>PEDIDO FARMACIA AMBULATORIA ABRIL. ADQUISICIÓN VÍA COMPRA ÁGIL. DESPACHO 72 HRS CARGO DEL PROVEEDOR SEGÚN COTIZACIÓN. REF 1058012-220-COT25.</t>
  </si>
  <si>
    <t>BIFIDOBACTERIUM BB-12 PROBIOTICOS EN GOTAS</t>
  </si>
  <si>
    <t>1058012-220-COT25</t>
  </si>
  <si>
    <t>EL HOSPITAL CLÍNICO DE MAGALLANES REQUIERE BIFIDOBACTERIUM BB-12 PROBIOTICOS EN GOTAS. INDICAR AL COTIZAR: VALOR UNITARIO TOTAL, PRESENTACIÓN (ML),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</si>
  <si>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1058012-7012-AG25</t>
  </si>
  <si>
    <t>DERMATOLOGÍA COMITÉ FARMACIA MAYO / IMIQUIMOD 5% CREMA </t>
  </si>
  <si>
    <t>PEDIDO DERMATOLOGÍA COMITÉ FARMACIA MAYO. ADQUISICIÓN VÍA COMPRA ÁGIL. DESPACHO 7 DÍAS CARGO DEL PROVEEDOR SEGÚN COTIZACIÓN. REF 1058012-296-COT25.</t>
  </si>
  <si>
    <t>IMIQUIMOD 5% CREMA</t>
  </si>
  <si>
    <t>1058012-296-COT25</t>
  </si>
  <si>
    <t>EL HOSPITAL CLÍNICO DE MAGALLANES REQUIERE IMIQUIMOD 5% CREMA. INDICAR AL COTIZAR: VALOR UNITARIO TOTAL, PRESENTACIÓN (UD),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SOLICITADA.</t>
  </si>
  <si>
    <t>1058012-4493-AG25</t>
  </si>
  <si>
    <t>COMPRA ALTERNATIVA FALTA CENABAST FEBRERO / AZITROMICINA 500 MG IV</t>
  </si>
  <si>
    <t>COMPRA ALTERNATIVA POR FALTA DE STOCK EN OC N° 1058012-4414-SE25. ADQUISICIÓN VÍA COMPRA ÁGIL. DESPACHO 3 DÍAS SEGÚN COTIZACIÓN. ZGEN 100004661. REF 1058012-119-COT25.</t>
  </si>
  <si>
    <t>EMCURE PHARMA CHILE SPA</t>
  </si>
  <si>
    <t>77.240.238-4</t>
  </si>
  <si>
    <t>AZITROMICINA 500 MG IV</t>
  </si>
  <si>
    <t>1058012-119-COT25</t>
  </si>
  <si>
    <t>EL HOSPITAL CLÍNICO DE MAGALLANES REQUIERE AZITROMICINA 500 MG IV. INDICAR AL COTIZAR: VALOR UNITARIO TOTAL, PRESENTACIÓN (UD),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</si>
  <si>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AZITROMICINA LIOFILIZADO PARA SOLUCIÓN INYECTABLE 500MG FAM, FACTOR EMPAQUE X 10 FAM. EQUIVALENTE TERAPÉUTICO, Registro ISP F-27542/23, Vencimiento 07-2026 Stock disponible, entrega en 3 días - flete incluido. Datos de contacto en cotización adjunta.</t>
  </si>
  <si>
    <t>1058012-4622-AG25</t>
  </si>
  <si>
    <t>FARMACIA DOSIS UNITARIA NEONATOLOGIA/ BIFIDOBACTERIUM, BB-12 PROBIOTICOS EN GOTAS</t>
  </si>
  <si>
    <t>PEDIDO FARMACIA DOSIS UNITARIA NEONATOLOGIA. COMPRA AGIL DESPACHO, CARGO DEL PROVEEDOR. 1058012-135-COT25</t>
  </si>
  <si>
    <t>FARMACEUTICA CARIBEAN LTDA</t>
  </si>
  <si>
    <t>76.830.090-9</t>
  </si>
  <si>
    <t>VENTA AL POR MAYOR DE ARTICULOS DE PERFUMERIA, COSMETICOS, JABONES Y P| VENTA AL POR MAYOR DE PRODUCTOS FARMACEUTICOS| ALMACENES MEDIANOS (VENTA DE ALIMENTOS) SUPERMERCADOS, MINIMARKETS| VENTA AL POR MENOR DE PRODUCTOS MEDICINALES| VENTA AL POR MENOR DE</t>
  </si>
  <si>
    <t>BIFIDOBACTERIUM, BB-12 PROBIOTICOS EN GOTAS</t>
  </si>
  <si>
    <t>1058012-135-COT25</t>
  </si>
  <si>
    <t>EL HOSPITAL CLÍNICO DE MAGALLANES REQUIERE BIFIDOBACTERIUM, BB-12 PROBIOTICOS EN GOTAS.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</si>
  <si>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FACTURACION MINIMA $50.000+IVA PARA SANTIAGO Y $75.000+IVA PARA REGIONES, DESPACHO: STGO 24-48 HR Y REGIONES 48-72 HRS, FLETE ADICIONALSOLO SUEROS X VOLUMEN, UNIDAD MIN. COTIZADA, SE AJUSTARÁ A FACTOR DE EMPAQUE, REG.ISP, FACT.ELECTRONICA.</t>
  </si>
  <si>
    <t>1058012-4686-AG25</t>
  </si>
  <si>
    <t>PEDIDO FALTA DISTRIBUCIÓN CENABAST MARZO. ADQUISICIÓN VÍA COMPRA ÁGIL. DESPACH0O 24 A 48 HRS. SEGÚN COTIZACIÓN. ZGEN 100000371. REF 1058012-146-COT25.</t>
  </si>
  <si>
    <t>1058012-146-COT25</t>
  </si>
  <si>
    <t>EL HOSPITAL CLÍNICO DE MAGALLANES REQUIERE CICLOFOSFAMIDA 1G FA POLVO LIOFILIZADO. INDICAR AL COTIZAR: VALOR UNITARIO TOTAL, PRESENTACIÓN (ML), FECHA VCTO, ADJUNTAR FICHA TÉCNICA Y/O REGISTRO ISP, TIPO DE TRASLADO (ESPECIFICAR, PARA ACORDAR RETIRO CARGO HOSPITAL DE SER NECESARIO), E INDICAR SI CUENTA CON STOCK PARA DESPACHO INMEDIATO. SE DECLARARA INADMISIBLE OFERTA QUE INDIQUE VALOR REFERENCIAL $0 o $1, NO ENTREGUEN DOCUMENTACIÓN TÉCNICA U OMITAN INFORMACIÓN.</t>
  </si>
  <si>
    <t>ENDOXAN 1 G SOL. INY. X 50 ML, COSTO FLETE INCLUIDO, DESPACHO DE 24 A 48 HORAS, UNA VEZ ACEPTADA LA ORDEN DE COMPRA, SIN MÍNIMO DE FACTURACIÓN, VENCE SUPERIOR A 12 MESES (PV) pvalencia@adnfarmaceutica.cl</t>
  </si>
  <si>
    <t>1058012-7676-AG25</t>
  </si>
  <si>
    <t>FALTA CENABAST JULIO (FALTANTE) / CICLOFOSFAMIDA 1G FA POLVO LIOFILIZADO</t>
  </si>
  <si>
    <t>PEDIDO FALTA CENABAST JULIO (FALTANTE). ADQUISICIÓN VÍA COMPRA ÁGIL. DESPACHO 3 DÍAS CARGO DEL PROVEEDOR SEGÚN COTIZACIÓN. ZGEN 100000371. REF 1058012-437-COT25.</t>
  </si>
  <si>
    <t>1058012-437-COT25</t>
  </si>
  <si>
    <t>EL HCM REQUIERE CICLOFOSFAMIDA 1G FA POLVO LIOFILIZADO.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</si>
  <si>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ENDOXAN 1 G SOL. INY. X 50 ML*ENTREGA DE 24 A 48 HRS, VENCE MAS DE 12 MESES, DESPACHO C/FACTURA, DESPACHO INCLUIDO EN EL PRECIO, SIN MINIMO DE COMPRA,CON POLITICA DE CANJE, OFERENTE Ximena Silva/9-57438894/xsilva@adnfarmaceutica.cl</t>
  </si>
  <si>
    <t>1058012-7672-AG25</t>
  </si>
  <si>
    <t>COMPRA ALTERNATIVA FALTA CENABAST MAYO Y JUNIO / LACTULOSA 65-66 1000 ML</t>
  </si>
  <si>
    <t>COMPRA ALTERNATIVA POR FALTA DE STOCK EN PROVEEDOR OC N° 1058012-7047-SE25 Y OC N° 1058012-7423-SE25. ADQUISICIÓN VÍA COMPRA ÁGIL. DESPACHO 7 DÍAS CARGO DEL PROVEEDOR SEGÚN COTIZACIÓN. ZGEN 100000893. REF 1058012-452-COT25.</t>
  </si>
  <si>
    <t>LACTULOSA 65-66 1000 ML</t>
  </si>
  <si>
    <t>Litro</t>
  </si>
  <si>
    <t>1058012-452-COT25</t>
  </si>
  <si>
    <t>EL HOSPITAL CLÍNICO DE MAGALLANES REQUIERE LACTULOSA 65-66 1000 ML. INDICAR AL COTIZAR: VALOR UNITARIO TOTAL, PRESENTACIÓN (LT),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</si>
  <si>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1058012-1372-AG24</t>
  </si>
  <si>
    <t>FARMACIA AMBULATORIA JUNIO / CARBAMAZEPINA 100 MG 5ML SO</t>
  </si>
  <si>
    <t>PEDIDO FARMACIA AMBULATORIA JUNIO. ADQUISICIÓN VÍA COMPRA ÁGIL. FLETE CARGO DEL PROVEEDOR. ZGEN 100005816. REF 1058012-402-COT24.</t>
  </si>
  <si>
    <t>NOVOFARMA SERVICE S A</t>
  </si>
  <si>
    <t>96.945.670-2</t>
  </si>
  <si>
    <t>SERVICIOS DE ALMACENAMIENTO Y DEPOSITO| OTRAS ACTIVIDADES EMPRESARIALES N.C.P.</t>
  </si>
  <si>
    <t>CARBAMAZEPINA 100 MG 5ML SOLUCIÓN ORAL</t>
  </si>
  <si>
    <t>1058012-402-COT24</t>
  </si>
  <si>
    <t>EL HOSPITAL CLÍNICO DE MAGALLANES REQUIERE CARBAMAZEPINA 100 MG 5ML SO. INDICAR AL COTIZAR: VALOR UNITARIO TOTAL, PRESENTACIÓN (ML), FECHA VCTO, ADJUNTAR FICHA TÉCNICA Y/O REGISTRO ISP, TIPO DE TRASLADO CARGO PROVEEDOR CON DESPACHOS PARCIALIZADOS (ESPECIFICAR, PARA ACORDAR RETIRO CARGO HOSPITAL DE SER NECESARIO), E INDICAR SI CUENTA CON STOCK PARA DESPACHO INMEDIATO. SE DESESTIMARÁ OFERTA QUE INDIQUE VALOR REFERENCIAL $0 o $1, U OMITAN INFORMACIÓN.</t>
  </si>
  <si>
    <t>AX3003800 - TEGRETAL JARABE 2% 100ML - F-4378/20 - CARBAMAZEPINA - - FRASCO 100 ML - EFICACIA DE 36 MESES ALMACENADO A NO MÁS DE 25ºC - LOTE ACTUAL VENCE 31/08/2026 DESPACHO INMEDIATO- SIN REGARGO POR FLETE- MINIMO DE DESPACHO 7 UF + IVA.</t>
  </si>
  <si>
    <t>1058012-6777-AG25</t>
  </si>
  <si>
    <t>COMPRA ALTERNATIVA STOCK CRÍTICO FARMACIA DOSIS UNITARIA / AMINOACIDOS 10% PARA ADMINISTRACION I.V.</t>
  </si>
  <si>
    <t>COMPRA ALTERNATIVA STOCK CRÍTICO FARMACIA DOSIS UNITARIA EN PROVEEDOR DE N° ORDEN 1058012-6645-SE25. ADQUISICIÓN VÍA COMPRA ÁGIL. TRASLADO AEREO CARGO DEL PROVEEDOR ZGEN 100000114 REF 1058012-204-COT25</t>
  </si>
  <si>
    <t>FRESENIUS KABI CHILE LIMITADA</t>
  </si>
  <si>
    <t>77.478.120-k</t>
  </si>
  <si>
    <t>VENTA AL POR MAYOR DE PRODUCTOS FARMACEUTICOS| TRANSPORTE DE CARGA POR CARRETERA| EMPRESAS DE ASESORIA, CONSULTORIA FINANCIERA Y DE APOYO AL GIRO</t>
  </si>
  <si>
    <t>AMINOACIDOS 10% PARA ADMINISTRACION I.V.</t>
  </si>
  <si>
    <t>1058012-204-COT25</t>
  </si>
  <si>
    <t>EL HOSPITAL CLÍNICO DE MAGALLANES REQUIERE AMINOACIDOS 10% PARA ADMINISTRACION I.V. INDICAR AL COTIZAR: VALOR UNITARIO TOTAL, PRESENTACIÓN (UD),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</si>
  <si>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Cotización_0020178566. Despacho en caja según factor de empaque. Vencimiento de material 04.07.2026.</t>
  </si>
  <si>
    <t>1058012-4130-AG25</t>
  </si>
  <si>
    <t>COMITÉ FARMACIA ACTA N° 10 2024/ AMINOACIDOS 15%</t>
  </si>
  <si>
    <t>PEDIDO COMITÉ FARMACIA ACTA N° 10 2024. COMPRA AGIL DESPACHO AEREO CARGO DEL PROVEEDOR. 1058012-31-COT25</t>
  </si>
  <si>
    <t>B BRAUN MEDICAL SPA</t>
  </si>
  <si>
    <t>96.756.540-7</t>
  </si>
  <si>
    <t>FABRICACION DE PRODUCTOS FARMACEUTICOS, SUSTANCIAS QUIMICAS MEDICINALE| FABRICACION DE OTROS PRODUCTOS QUIMICOS N.C.P.| VENTA AL POR MAYOR DE ARTICULOS DE PERFUMERIA, COSMETICOS, JABONES Y P| VENTA AL POR MAYOR DE PRODUCTOS FARMACEUTICOS| VENTA AL POR MAY</t>
  </si>
  <si>
    <t>AMINOACIDOS 15%</t>
  </si>
  <si>
    <t>1058012-31-COT25</t>
  </si>
  <si>
    <t>EL HOSPITAL CLÍNICO DE MAGALLANES REQUIERE AMINOACIDOS 15%.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</si>
  <si>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3548457	AMINOPLASMAL 15% 500 ML. 10 x caja</t>
  </si>
  <si>
    <t>1057402-22170-AG25</t>
  </si>
  <si>
    <t>(FAR) SUEROS Y ALCOHOLES ABRIL / ALCOHOL ETILICO 99° ML</t>
  </si>
  <si>
    <t>PEDIDO (FAR) SUEROS Y ALCOHOLES ABRIL. ADQUISICIÓN VÍA COMPRA ÁGIL. DESPACHO TERRESTRE CARGO DEL PROVEEDOR SEGÚN COTIZACIÓN. REF 1057402-478-COT25.</t>
  </si>
  <si>
    <t>Bienes y Servicios</t>
  </si>
  <si>
    <t>WINKLER LIMITADA</t>
  </si>
  <si>
    <t>79.722.860-5</t>
  </si>
  <si>
    <t>ELABORACION DE OTROS PRODUCTOS ALIMENTICIOS NO CLASIFICADOS EN OTRA PA| VENTA AL POR MAYOR DE PRODUCTOS QUIMICOS| VENTA AL POR MAYOR DE OTROS PRODUCTOS N.C.P.</t>
  </si>
  <si>
    <t>ALCOHOL ETILICO 99° ML BIDÓN 2,5 LT Características Técnicas Alcohol Absoluto 99 grados. Peso molecular: 46.07 g/mol Punto de ebullición: 78.37 °C Solubilidad en agua: miscible en todas proporciones Densidad: 0.789 g/cm³ a 20 °C Índice de refracción: 1.361</t>
  </si>
  <si>
    <t>Bidón</t>
  </si>
  <si>
    <t>1057402-478-COT25</t>
  </si>
  <si>
    <t>EL HOSPITAL CLÍNICO DE MAGALLANES REQUIERE ALCOHOL ETILICO 99° ML. INDICAR AL COTIZAR: VALOR UNITARIO TOTAL, PRESENTACIÓN (ML), FECHA VCTO, ADJUNTAR FICHA TÉCNICA Y/O REGISTRO ISP, TIPO DE TRASLADO Y ESPECIFICAR FECHA DE ENTREGA, INDICAR SI CUENTA CON STOCK PARA DESPACHO INMEDIATO. SE DECLARARA INADMISIBLE OFERTA QUE INDIQUE VALOR REFERENCIAL $0 o $1, U OMITAN INFORMACIÓN Y DOCUMENTOS TÉCNICOS.</t>
  </si>
  <si>
    <t>SE ADJUNTA COTIZACIÓN 544593 Y ANTECEDENTES PARA SER EVALUADOS: TIPO DE TRASLADO: TERRESTRE POR TRANSPORTE PDQ. - ENTREGA APROXIMADA: 15 DÍAS HÁBILES. - CONTAMOS CON STOCK PARA ENTREGA EN LOS PLAZOS INFORMADOS. - DURACIÓN DOS (2) AÑOS DESDE SU ELABORACIÓN</t>
  </si>
  <si>
    <t>1058012-6781-AG25</t>
  </si>
  <si>
    <t>FARMACIA DOSIS UNITARIA/ COTRIMOXAZOL 80 / 400 FORTE</t>
  </si>
  <si>
    <t>PEDIDO FARMACIA DOSIS UNITARIA. COMPRA AGIL DESPACHO CARGO DEL PROVEEDOR. 1058012-208-COT25</t>
  </si>
  <si>
    <t>COTRIMOXAZOL 80 / 400 FORTE JBE</t>
  </si>
  <si>
    <t>1058012-208-COT25</t>
  </si>
  <si>
    <t>EL HOSPITAL CLÍNICO DE MAGALLANES REQUIERE COTRIMOXAZOL 80 / 400 FORTE. INDICAR AL COTIZAR: FECHA DE ENTREGA EN BODEGA DEL HCM, PRESENTACIÓN (ML), FECHA VCTO, ADJUNTAR FICHA TÉCNICA Y/O REGISTRO ISP, TIPO DE TRASLADO. POSTULAR SOLO SI CUENTA CON STOCK PARA DESPACHO INMEDIATO. COMPRA SUJETA A MULTA POR NO RESPETAR FECHA ESTIMADA DE ENTREGA DE LA OC. SE DESESTIMARÁ OFERTA QUE INDIQUE VALOR REFERENCIAL $0 o $1, O NO CUMPLAN CON LO SOLICITADO. MOTIVO IPORTANTE PARA DEJAR FUERA UNA OFERTA ES S</t>
  </si>
  <si>
    <t>BACTEROL FTE.SUS.100ML.ENTREGA DE 24 A 48 HRS, VENCE MAS DE 12 MESES, DESPACHO C/FACTURA INCLUIDO EN EL PRECIO, SIN MINIMO DE COMPRA,CON POLITICA DE CANJE, OFERENTE Ximena Silva/9-57438894/xsilva@adnfarmaceutica.cl</t>
  </si>
  <si>
    <t>1058012-7751-AG25</t>
  </si>
  <si>
    <t>COMPRA ALTERNATIVA FARMACIA AMBULATORIA JULIO / PILOCARPINA 4% SOL OFTALMICA</t>
  </si>
  <si>
    <t>COMPRA ALTERNATIVA POR FALTA DE STOCK EN PROVEEDOR OC: 1058012-7646-SE25. ADQUISICION A TRAVES DE COMPRA AGIL. DESPACHO DE 24 A 48 HORAS CARGO DEL PROVEEDOR. REEF 1058012-469-COT25 100001174</t>
  </si>
  <si>
    <t>PILOCARPINA 4% SOLUCION OFTALMICA</t>
  </si>
  <si>
    <t>1058012-469-COT25</t>
  </si>
  <si>
    <t>EL HCM REQUIERE PILOCARPINA 4% SOLUCION OFTALMICA.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</si>
  <si>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PILOCARPINA 4 % SOL. OFT. X 10 ML, COSTO FLETE INCLUIDO, DESPACHO DE 24 A 48 HORAS, UNA VEZ ACEPTADA LA ORDEN DE COMPRA, SIN MÍNIMO DE FACTURACIÓN, VENCE SUPERIOR A 12 MESES (PV) pvalencia@adnfarmaceutica.cl (CM 11/07)</t>
  </si>
  <si>
    <t>1058012-429-AG24</t>
  </si>
  <si>
    <t>FARMACIA PROG. VIH FEBRERO / COMPLEMENTO NUTRICIONAL NORMAL ADULTO</t>
  </si>
  <si>
    <t>PEDIDO FARMACIA [PROG. VIH] FEBRERO. ADQUISICIÓN VÍA COMPRA ÁGIL. FLETE NCARGO DEL PROVEEDOR. REF 1058012-150-COT24.</t>
  </si>
  <si>
    <t>LABORATORIO BOSTON S A</t>
  </si>
  <si>
    <t>96.989.940-k</t>
  </si>
  <si>
    <t>FABRICACION DE PROD. FARMACEUTICOS, SUSTANCIAS QUIMICAS MEDICINALES| VENTA AL POR MENOR A CAMBIO DE UNA RETRIBUCION O POR CONTRATA| COMPRA/VENTA Y ALQUILER (EXCEPTO AMOBLADOS) DE INM. PROPIOS O ARR| OTRAS ACTIVIDADES EMPRESARIALES N.C.P.</t>
  </si>
  <si>
    <t>COMPLEMENTO NUTRICIONAL ADULTO NORMAL .SABOR VAINILLA, FRUTILLA, CHOCOLATE. Nutrición Completa y Balanceada que contenga Fibra Prebiótica FOS ,sin Lactosa y sin Gluten. Densidad calórica: 230kcal en dilución normal con agua (230 ml) , Osmolaridad: 390 mO</t>
  </si>
  <si>
    <t>1058012-150-COT24</t>
  </si>
  <si>
    <t>EL HOSPITAL CLÍNICO DE MAGALLANES REQUIERE COMPLEMENTO NUTRICIONAL NORMAL ADULTO. INDICAR AL COTIZAR: VALOR UNITARIO TOTAL, PRESENTACIÓN (GR),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</si>
  <si>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Nat100 Triple Fibra Libre de Soya Gluten y Lactosa Tarros de 900 grs. Sabor vainilla. De nuestro Laboratorio Boston Vencimiento 24 meses Incluye Flete</t>
  </si>
  <si>
    <t>1058012-370-AG24</t>
  </si>
  <si>
    <t>PEDIDO FARMACIA DOSIS UNITARIA/ POLIDOCANOL 2% 2 ML</t>
  </si>
  <si>
    <t>PEDIDO FARMACIA DOSIS UNITARIA. COMPRA AGIL DESPACHO CARGO DEL PROVEEDOR. 1058012-106-COT24</t>
  </si>
  <si>
    <t>FARMACEUTICA INSUVAL S.A.</t>
  </si>
  <si>
    <t>77.768.990-8</t>
  </si>
  <si>
    <t>VENTA AL POR MAYOR DE PRODUCTOS QUIMICOS| ALMACENES PEQUENOS (VENTA DE ALIMENTOS)| VENTA AL POR MENOR DE OTROS PRODUCTOS EN PEQUENOS ALMACENES NO ESPECIA| OTRAS ACTIVIDADES EMPRESARIALES RELACIONADAS CON LA SALUD HUMANA</t>
  </si>
  <si>
    <t>Región del Biobío</t>
  </si>
  <si>
    <t>POLIDOCANOL 2% 2 ML</t>
  </si>
  <si>
    <t>1058012-106-COT24</t>
  </si>
  <si>
    <t>EL HOSPITAL CLÍNICO DE MAGALLANES REQUIERE POLIDOCANOL 2% 2 ML.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</si>
  <si>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POLIDOCANOL 2% 2 ML ELAB RECETARIO MAGISTRAL INSUVAL S.A. VCTO 40 DÍAS DESDE ELAB SEGUN DS79. SE OFRECE RETIRO POR PARTE DE COMPRADOR EN DEPENDENCIAS DE INSUVAL. COORDINAR CON INFO@INSUVAL.CL, CVENEGAS@INSUVAL.CL Y ATENCIONCLIENTE@INSUVAL.CL</t>
  </si>
  <si>
    <t>1058012-1824-AG24</t>
  </si>
  <si>
    <t>FARMACIA AMBULATORIA JULIO / BUDESONIDA FORMOTEROL FUMARATO 160/4,5 MCG</t>
  </si>
  <si>
    <t>PEDIDO FARMACIA AMBULATORIA JULIO. ADQUISICÓN VÍA COMPRA ÁGIL. FLETE 2 A 3 DÍAS HÁBILES SEGÚN COTIZACIÓN. REF 1058012-511-COT24.</t>
  </si>
  <si>
    <t>BUDESONIDA FORMOTEROL FUMARATO 160/4,5 MCG</t>
  </si>
  <si>
    <t>1058012-511-COT24</t>
  </si>
  <si>
    <t>EL HOSPITAL CLÍNICO DE MAGALLANES REQUIERE BUDESONIDA FORMOTEROL FUMARATO 160/4,5 MCG. INDICAR AL COTIZAR: VALOR UNITARIO TOTAL, PRESENTACIÓN (UD),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</si>
  <si>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1058012-2089-AG24</t>
  </si>
  <si>
    <t>STOCK CRÍTICO FARMACIA AMBULATORIA AGOSTO / BUDESONIDA FORMOTEROL FUMARATO 160/4,5 MCG BUCAL</t>
  </si>
  <si>
    <t>PEDIDO STOCK CRÍTICO FARMACIA AMBULATORIA AGOSTO. ADQUISICIÓN VÍA COMPRA ÁGIL. FLETE 2 A 3 DÍAS HÁBILES CARGO DEL PROVEEDOR SEGÚN COTIZACIÓN. REF 1058012-543-COT24.</t>
  </si>
  <si>
    <t>BUDESONIDA FORMOTEROL FUMARATO 160/4,5 MCG BUCAL</t>
  </si>
  <si>
    <t>1058012-543-COT24</t>
  </si>
  <si>
    <t>EL HOSPITAL CLÍNICO DE MAGALLANES REQUIERE BUDESONIDA FORMOTEROL FUMARATO 160/4,5 MCG BUCAL. INDICAR AL COTIZAR: VALOR UNITARIO TOTAL, PRESENTACIÓN (UD),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</si>
  <si>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1058012-2875-AG24</t>
  </si>
  <si>
    <t>FARMACIA DOSIS UNITARIA DICIEMBRE / KETAMINA 500 MG 10 ML SOL INY FA</t>
  </si>
  <si>
    <t>PEDIDO FARMACIA DOSIS UNITARIA DICIEMBRE. ADQUISICIÓN VÍA COMPRA ÁGIL. FLETE CARGO DEL PROVEEDOR. ZGEN 100000865. REF 1058012-662-COT24.</t>
  </si>
  <si>
    <t>CRISTALIA CHILE SPA</t>
  </si>
  <si>
    <t>77.542.429-K</t>
  </si>
  <si>
    <t>KETAMINA SOL INY 500 MG/10 ML</t>
  </si>
  <si>
    <t>1058012-662-COT24</t>
  </si>
  <si>
    <t>EL HOSPITAL CLÍNICO DE MAGALLANES REQUIERE KETAMINA SOL INY 500 MG/10 ML.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</si>
  <si>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-ESKETAMINA MARCA KETA-S 50MG/ML 25FA 10 ML POR LABORATORIO CRISTALIA (PRESENTACION 25 FRASCO AMPOLLA POR CAJA) VENCIMIENTO SUPERIOR A 12 MESES DISTRIBUCION DESDE 23-12-2024</t>
  </si>
  <si>
    <t>1057402-6386-AG24</t>
  </si>
  <si>
    <t>(FAR) ANTISEPTICOS Y DESINFECTANTES JUNIO / CLORHEXIDINA 5% TINTURA 125 ML</t>
  </si>
  <si>
    <t>PEDIDO ANTISEPTICOS Y DESINFECTANTES JUNIO. ADQUISICIÓN VÍA COMPRA ÁGIL. FLETE 3 A 5 DÍAS HÁBILES SEGÚN COTIZACIÓN. REF 1057402-936-COT24</t>
  </si>
  <si>
    <t>EQUIPOS MÉDICOS CHILE SPA</t>
  </si>
  <si>
    <t>77.354.084-5</t>
  </si>
  <si>
    <t>CLORHEXIDINA 5% TINTURA 125 ML</t>
  </si>
  <si>
    <t>1057402-936-COT24</t>
  </si>
  <si>
    <t>SE REQUIERE PARA EL HOSPITAL CLÍNICO DE MAGALLANES CLORHEXIDINA 5% TINTURA 125 ML. INDICAR: VALOR UNITARIO, PRESENTACIÓN Y EMPAQUE (ML), FECHA VCTO, ADJUNTAR FICHA TÉCNICA Y/O REGISTRO ISP, IMAGEN DEL PRODUCTO, TIEMPO DE ENTREGA (ESPECIFICAR, PARA COORDINAR RETIRO CARGO HOSPITAL DE SER NECESARIO), E INDICAR SI CUENTA CON STOCK PARA DESPACHO INMEDIATO. NO SE CONSIDERARÁN OFERTAS QUE INDIQUEN VALOR REFERENCIAL $0 Ó $1 U OMITAN INFORMACIÓN.</t>
  </si>
  <si>
    <t>SE ADJUNTA FICHA TÉCNICA DE LA OFERTA, INCLUYE LA TOTALIDAD DE LA SOLICITUD. ENTREGA 3 A 5 DÍAS HÁBILES. ANTE DUDAS FAVOR CONTACTARME c.calderon@equiposmedicoschile.cl +56937621017 CATALINA CALDERÓ</t>
  </si>
  <si>
    <t>1058012-1537-AG24</t>
  </si>
  <si>
    <t>COMPRA ALTERNATIVA FALTA CENABAST JUNIO / LEVETIRACETAM 100 MG ML SO</t>
  </si>
  <si>
    <t>COMPRA ALTERNATIVA POR FALTA DE STOCK EN PROVEEDOR OC N° 1058012-1384-SE24. ADQUISICIÓN VÍA COMPRA ÁGIL. FLETE 2 DÍAS HÁBILES SEGÚN COTIZACIÓN. ZGEN 100002573. REF 1058012-428-COT24.</t>
  </si>
  <si>
    <t>LEVETIRACETAM 100 MG ML SOLUCIÓN ORAL</t>
  </si>
  <si>
    <t>1058012-428-COT24</t>
  </si>
  <si>
    <t>EL HOSPITAL CLÍNICO DE MAGALLANES REQUIERE LEVETIRACETAM 100 MG ML SO. INDICAR AL COTIZAR: VALOR UNITARIO TOTAL, PRESENTACIÓN (ML),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</si>
  <si>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881526 KOPODEX 100MG SOL ORAL X 120 ML PA LEVETIRACETAM 100 MG REG ISP F-16138/22 VENCE 15-05-2027. PRECIO INCL. FLETE, ENTREGA 48 HRS HAB., MIN. FACT. $100.000.- STOCK DISPONIBLE, CONTACTO: SHIRLEY.BELMAR@ABBOTT.COM</t>
  </si>
  <si>
    <t>1058012-2828-AG24</t>
  </si>
  <si>
    <t>FARMACIA DOSIS UNITARIA/ FENOTERTOL BROMI}HIDRATO 0,5 MG + IPATROPIO BROMURO 0,25 MG/ML 1058012-655-COT24</t>
  </si>
  <si>
    <t>PEDIDO FARMACIA DOSIS UNITARIA. COMPRA AGIL (SIN OFERTAS) DESPACHO CARGO DEL PROVEEDOR. 100000627</t>
  </si>
  <si>
    <t>FENOTEROL BROMHIDRATO 0,5 MG + IPATROPIO BROMURO 0,25 MG / ML</t>
  </si>
  <si>
    <t>1058012-655-COT24</t>
  </si>
  <si>
    <t>EL HOSPITAL CLÍNICO DE MAGALLANES REQUIERE FENOTEROL BROMHIDRATO 0,5 MG + IPATROPIO BROMURO 0,25 MG / ML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</si>
  <si>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ADJUNTO COTIZACIÓN FORMAL, FICHA DE PRODUCTOS Y REGISTRO DE ISP. VENCIMIENTO MAYOR A 12 MESES. ENTREGA Y DISPONIBILIDAD INMEDIATA LUEGO DE EMITIDA LA OC. MÍNIMO DE DESPACHO $180.000. CONTACTO DE VENTAS JONATHAN GRANIFO. VENTAS3@ACGRUPOACONCAGUA.CL</t>
  </si>
  <si>
    <t>1058012-96-AG25</t>
  </si>
  <si>
    <t>COMITÉ FARMACIA/ AMBRISENTÁN 10 MG CM</t>
  </si>
  <si>
    <t>PEDIDO COMITÉ FARMACIA. COMPRA AGIL DESPACHO CARGO DEL PROVEEDOR. 1058012-11-COT25</t>
  </si>
  <si>
    <t>1058012-11-COT25</t>
  </si>
  <si>
    <t>EL HOSPITAL CLÍNICO DE MAGALLANES REQUIERE AMBRISENTAM 10 MG CM.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</si>
  <si>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ARISEON COMPRIMIDOS RECUBIERTOS 10 mg (AMBRISENTÁN), caja x 30, Registro ISP: F-27488, vencimiento 30-09-2027 Stock disponible, entrega en 3 días. Flete Incluido. Datos de contacto en cotización adjunta.</t>
  </si>
  <si>
    <t>1058012-1243-AG24</t>
  </si>
  <si>
    <t>COMITÉ FARMACIA MAYO / CIANOCOBALAMINA 50 MCG 5 ML JBE</t>
  </si>
  <si>
    <t>PEDIDO COMITÉ FARMACIA MAYO. ADQUISICIÓN VÍA COMPRA ÁGIL. FLETE CARGO DEL PROVEEDOR. DESPACHO PARCIALIZADO, 30 FRASCOS AL ACEPTAR OC, 30 FRASCOS RESTANTES SERAN COORDINADAS POR D. RODRIGO BARRIA (CORREO rodrigo.barria.hcm@gmail.com - FONO 61-2293466.) REF 1058012-368-COT24. COMITÉ FARMACIA N°4 DEL 29-04-2024.</t>
  </si>
  <si>
    <t>DROGUERIA GLOBAL PHARMA SPA</t>
  </si>
  <si>
    <t>76.389.383-9</t>
  </si>
  <si>
    <t>FARMACIA Y PERFUMERIA</t>
  </si>
  <si>
    <t>CIANOCOBALAMINA 50 MCG 5 ML JBE</t>
  </si>
  <si>
    <t>1058012-368-COT24</t>
  </si>
  <si>
    <t>EL HOSPITAL CLÍNICO DE MAGALLANES REQUIERE CIANOCOBALAMINA 50 MCG 5 ML JBE. INDICAR AL COTIZAR: VALOR UNITARIO TOTAL, PRESENTACIÓN (ML), FECHA VCTO, ADJUNTAR FICHA TÉCNICA Y/O REGISTRO ISP, TIPO DE TRASLADO CARGO PROVEEDOR, SE SOLICITARAN DESPACHOS PARCIALIZADOS SEGÚN SOLICITUDES DEL HOSPITAL. (ESPECIFICAR, PARA ACORDAR RETIRO CARGO HOSPITAL DE SER NECESARIO), E INDICAR SI CUENTA CON STOCK PARA DESPACHO INMEDIATO. SE DESESTIMARÁ OFERTA QUE INDIQUE VALOR REFERENCIAL $0 o $1, U OMITAN INFORMACIÓ</t>
  </si>
  <si>
    <t>66661104 TOL-12 ORAL SOLUCION ORAL 250 ML (CIANOCOBALAMINA+PIRIDOXINA+TIAMINA) LAB SAVAL ABR-2027 DROGUERÍA GLOBAL PHARMA SPA POSEE TRANSPORTE FDEX/TNT/STARKEN ENTREGA EN 12 DÍAS HÁBILES, MÍNIMO DE COMPRA $30.000 MÁS IVA. INFO AESCOBEDO@GLOBAL-PHARMA.CL</t>
  </si>
  <si>
    <t>1057402-5711-AG24</t>
  </si>
  <si>
    <t>(FAR) SUEROS Y ALCOHOLES JUNIO / ALCOHOL ETILICO 99° ML</t>
  </si>
  <si>
    <t>PEDIDO SUEROS Y ALCOHOLES JUNIO. ADQUISICIÓN VÍA COMPRA ÁGIL. FLETE CARGO DEL PROVEEDOR. REF 1057402-857-COT24.</t>
  </si>
  <si>
    <t>VERDEJO Y VERDEJO LIMITADA</t>
  </si>
  <si>
    <t>79.591.440-4</t>
  </si>
  <si>
    <t>VENTAS AL POR MENOR DE OTROS PRODUCTOS EN ALMACENES ESPECIALIZADOS N.C</t>
  </si>
  <si>
    <t>ALCOHOL ABSOLUTO = 99° PA, BIDON 2,5 LITROS.</t>
  </si>
  <si>
    <t>1057402-857-COT24</t>
  </si>
  <si>
    <t>SE REQUIERE PARA EL HOSPITAL CLÍNICO DE MAGALLANES ALCOHOL ETILICO 99° 2,5 LT. INDICAR: VALOR UNITARIO, PRESENTACIÓN Y EMPAQUE (ML), FECHA VCTO, ADJUNTAR FICHA TÉCNICA Y/O REGISTRO ISP, IMAGEN DEL PRODUCTO, TIEMPO DE ENTREGA (ESPECIFICAR, PARA COORDINAR RETIRO CARGO HOSPITAL DE SER NECESARIO), E INDICAR SI CUENTA CON STOCK PARA DESPACHO INMEDIATO. NO SE CONSIDERARÁN OFERTAS QUE INDIQUEN VALOR REFERENCIAL $0 Ó $1 U OMITAN INFORMACIÓN.</t>
  </si>
  <si>
    <t>Alcohol Etílico Anhidro 99,5º</t>
  </si>
  <si>
    <t>1058012-7821-AG25</t>
  </si>
  <si>
    <t>FARMACIA DU JULIO / MIVACUORIO 10MG/5ML AM</t>
  </si>
  <si>
    <t>FARMACIA DU JULIO ADQUISICION A TRAVES DE COMPRA AGIL DESPACHO 24 A 48 HORAS CARGO DEL PROVEEDOR REF: 1058012-460-COT25</t>
  </si>
  <si>
    <t>ASPEN CHILE S.A.</t>
  </si>
  <si>
    <t>76.328.242-2</t>
  </si>
  <si>
    <t>Venta de Productos y Subproductos Farmacéuticos, medicinales y nutricionales</t>
  </si>
  <si>
    <t>MIVACUORIO 10MG/5ML AM</t>
  </si>
  <si>
    <t>1058012-460-COT25</t>
  </si>
  <si>
    <t>EL HCM REQUIERE MIVACUORIO 10ML/5ML AM.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</si>
  <si>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MIVACRON SOL.INY.10 mg5 ml (Mivacurio Cloruro).Reg.ISP:F-2658722. PROVEEDOR UNICO.Fabricante:ASPEN SA STERILE OPERATIONS PTY LTD , Sudráfica. Presentación:Caja x 5 amp.Producto Refrigerado.VCTO:10.2027. M.mínimo$100.000+IVA.Entrega 48 hr hábiles</t>
  </si>
  <si>
    <t>1058012-8344-AG25</t>
  </si>
  <si>
    <t>FARMACIA AMBULATORIA SEPTIEMBRE / LUBRICANTE OCULAR QUE CONTENGA CARBOMERO</t>
  </si>
  <si>
    <t>PEDIDO FARMACIA AMBULATORIA SEPTIEMBRE. ADQUISICIÓN VÍA COMPRA ÁGIL. DESPACHO E DÍAS CARGO DEL PROVEEDOR. REF 1058012-553-COT25.</t>
  </si>
  <si>
    <t>THEA PHARMA SPA</t>
  </si>
  <si>
    <t>76.692.953-2</t>
  </si>
  <si>
    <t>Venta al por mayor de otros productos N.C.P.</t>
  </si>
  <si>
    <t>LUBRICANTE OCULAR QUE CONTENGA CARBOMERO (0,2-0,25,0,3 GR / 100 GR) GEL</t>
  </si>
  <si>
    <t>Tubo</t>
  </si>
  <si>
    <t>1058012-553-COT25</t>
  </si>
  <si>
    <t>EL HOSPITAL CLÍNICO DE MAGALLANES REQUIERE LUBRICANTE OCULAR QUE CONTENGA CARBOMERO. INDICAR AL COTIZAR: VALOR UNITARIO TOTAL, PRESENTACIÓN (TUBO),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</si>
  <si>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Siccafluid gel en gotas lubricantes oculares Frasco gotario por 10 gr.</t>
  </si>
  <si>
    <t>1058012-2996-AG24</t>
  </si>
  <si>
    <t>COMITÉ FARMACIA/ OLANZAPINA 10 MG BUCODISPERSABLE</t>
  </si>
  <si>
    <t>PEDIDO COMITÉ FARMACIA. COMPRA AGIL DESPACHO CARGO DEL PROVEEDOR. 1058012-674-COT24</t>
  </si>
  <si>
    <t>OLANZAPINA 10 MG BUCODISPERSABLE</t>
  </si>
  <si>
    <t>1058012-674-COT24</t>
  </si>
  <si>
    <t>EL HOSPITAL CLÍNICO DE MAGALLANES REQUIERE OLANZAPINA 10 MG BUCODISPERSABLE.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</si>
  <si>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ZYPREXA ZYDIS COM.10MG. CX14, COSTO FLETE INCLUIDO, DESPACHO DE 24 A 48 HORAS, UNA VEZ ACEPTADA LA ORDEN DE COMPRA, SIN MÍNIMO DE FACTURACIÓN, VENCE SUPERIOR A 12 MESES (PV) pvalencia@adnfarmaceutica.cl</t>
  </si>
  <si>
    <t>1058012-2049-AG24</t>
  </si>
  <si>
    <t>COMPRA ALTERNATIVA FALTA CENABAST/ REMIFENTANILO CLORHIDRATO 1 MG FA</t>
  </si>
  <si>
    <t>COMPRA ALTERNATIVA POR FALTA DE STOCK EN PROVEEDOR DE N° ORDEN 1058012-1955-SE24. ADQUISICIÓN VÍA COMPRA ÁGIL. TRASLADO CARGO AL PROVEEDOR ZGEN (100001243) REF 1058012-538-COT24</t>
  </si>
  <si>
    <t>REMIFENTANILO CLORHIDRATO 1 MG FA</t>
  </si>
  <si>
    <t>1058012-538-COT24</t>
  </si>
  <si>
    <t>EL HOSPITAL CLÍNICO DE MAGALLANES REQUIERE REMIFENTANILO CLORHIDRATO 1 MG FA.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</si>
  <si>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ULTIVA POLVO LIOFILIZADO PARA SOLUCIÓN INYECTABLE 1 mg. (remifentanilo). PRODUCTO ORIGINAL. REG ISP: F-309/23. Presentación: Caja x 5 amp. Procedencia: Glaxosmithkline Manufacturing S.P.A., Italia. Vcto.: 11.2024. M.mínimo $100.000+IVA entrega 48 hr hábil</t>
  </si>
  <si>
    <t>1058012-881-AG24</t>
  </si>
  <si>
    <t>FALTA CENABAST ABRIL / TIMOLOL MALEATO 0,5% SOLUC OFT</t>
  </si>
  <si>
    <t>PEDIDO FALTA DISTRIBUCIÓN CENABAST ABRIL. ADQUISICIÓN VÍA COMPRA ÁGIL. FLETE CARGO DEL PROVEEDOR. REF 1058012-278-COT24.</t>
  </si>
  <si>
    <t>TIMOLOL MALEATO 0,5% SOL OFT</t>
  </si>
  <si>
    <t>1058012-278-COT24</t>
  </si>
  <si>
    <t>EL HOSPITAL CLÍNICO DE MAGALLANES REQUIERE TIMOLOL MALEATO 0,5% SOL OFT. INDICAR AL COTIZAR: VALOR UNITARIO TOTAL, PRESENTACIÓN (FCO),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</si>
  <si>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TIMOLOL COL 0,5% X 10 ML OPKO vence 7/24 despacho GRATIS 48 horas una vez aceptada la OC se adjunta ficha fono: 992657125</t>
  </si>
  <si>
    <t>1058012-2219-AG24</t>
  </si>
  <si>
    <t>COMITÉ FARMACIA N° 6/ BIFIDOBACTERIUM, BB-12 PROBIOTICOS EN GOTAS: 1058012-557-COT24</t>
  </si>
  <si>
    <t>PEDIDO COMITE FARMACIA N° 6 F. DOSIS UNITARIA. COMPRA AGIL DESPACHO TERRESTRE, CARGO DEL PROVEEDOR.</t>
  </si>
  <si>
    <t>INSTITUTO SANITAS S A</t>
  </si>
  <si>
    <t>90.073.000-4</t>
  </si>
  <si>
    <t>1058012-557-COT24</t>
  </si>
  <si>
    <t>S-PT4154.PROBACILUS.(Lactobacillus Reuteri)VENCE: 18-04-2026. Resolucio´n Sanitaria: 2113290870 del 26/07/20. VALIDEZ OFERTA:30 DÍAS. MONTO MÍNIMO:$120.000+IVA. ENVÍO TERRESTRE.PLAZO DE ENTREGA:15 DIAS.SE PUEDE ACORDAR RETIRO AL CORREO:squezada@sanitas.cl</t>
  </si>
  <si>
    <t>1058012-7476-AG25</t>
  </si>
  <si>
    <t>FARMACIA AMBULATORIA JUNIO / LACTOBACILLUS REUTERI PROTECTIS 5 ML</t>
  </si>
  <si>
    <t>PEDIDO FARMACIA AMBULATORIA JUNIO. ADQUISICIÓN VÍA COMPRA ÁGIL. DESPACHO 10 DÍAS CARGO DEL PROVEEDOR SEGÚN COTIZACIÓN. NOTA: SE PUEDE COORDINAR RETIRO DE LA CARGA. REF 1058012-390-COT25.</t>
  </si>
  <si>
    <t>LACTOBACILLUS REUTERI PROTECTIS 5 ML GOTAS</t>
  </si>
  <si>
    <t>1058012-390-COT25</t>
  </si>
  <si>
    <t>EL HOSPITAL CLÍNICO DE MAGALLANES REQUIERE LACTOBACILLUS REUTERI PROTECTIS 5 ML. INDICAR AL COTIZAR: VALOR UNITARIO TOTAL, PRESENTACIÓN (ML),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</si>
  <si>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S-PT4154.PROBACILUS.POMO 5 ML.(Lactobacillus Reuteri)VENCE: 10-06-2026. Resolucio´n Sanitaria:2113290870 del 26/07/2021.VALIDEZ OFERTA:30 DÍAS.MONTO MÍNIMO:$120.000+IVA.PLAZO ENTREGA:10 DÍAS HÁBILES.PARA ACORDAR RETIRO CARGO HOSPITAL DE SER NECESESARIO</t>
  </si>
  <si>
    <t>1057402-9103-AG24</t>
  </si>
  <si>
    <t>(FAR) URGENTE ANTISEPTICOS Y DESINFENCTANTES SEPTIEMBRE / CLORHEXIDINA 2% ACUOSA TOPICA 500 ML</t>
  </si>
  <si>
    <t>PEDIDO URGENTE ANTISEPTICOS Y DESINFENCTANTES SEPTIEMBRE. ADQUISICIÓN VÍA COMPRA ÁGIL. FLETE 12 A 15 DÍAS SEGÚN COTIZACIÓN. REF 1057402-1234-COT24.</t>
  </si>
  <si>
    <t>DIFEM LABORATORIOS S A</t>
  </si>
  <si>
    <t>79.581.120-6</t>
  </si>
  <si>
    <t>FABRICACION DE PRODUCTOS FARMACEUTICOS, SUSTANCIAS QUIMICAS MEDICINALE| FABRICACIONES DE JABONES Y DETERGENTES, PREPARADOS PARA LIMPIAR, PERFU</t>
  </si>
  <si>
    <t>CLORHEXIDINA 2% ACUOSA TOPICA 500 ML</t>
  </si>
  <si>
    <t>1057402-1234-COT24</t>
  </si>
  <si>
    <t>SE REQUIERE PARA EL HOSPITAL CLÍNICO DE MAGALLANES CLORHEXIDINA 2% ACUOSA TOPICA 500 ML. INDICAR: VALOR UNITARIO, PRESENTACIÓN Y EMPAQUE (ML), FECHA VCTO, ADJUNTAR FICHA TÉCNICA Y/O REGISTRO ISP, IMAGEN DEL PRODUCTO, TIEMPO DE ENTREGA (ESPECIFICAR, PARA COORDINAR RETIRO CARGO HOSPITAL DE SER NECESARIO), E INDICAR SI CUENTA CON STOCK PARA DESPACHO INMEDIATO. NO SE CONSIDERARÁN OFERTAS QUE INDIQUEN VALOR REFERENCIAL $0 Ó $1 U OMITAN INFORMACIÓN Y DOCUMENTOS SOLICITADOS.</t>
  </si>
  <si>
    <t>Dichlorexan Solución Acuosa 2% 500cc. Marca DIFEM, procedencia nacional. Sin alcohol, para antisepsia de piel. Registro ISP. Estudio microb según resolución 89. Con inserto dosificador. Cajas x 20 unidades. Vencimiento 25-01-2026. Despacho 12-15 días.</t>
  </si>
  <si>
    <t>1058012-1706-AG24</t>
  </si>
  <si>
    <t>FARMACIA DOSIS UNITARIA/ VITAMINAS HIDROSUBLES USO IV INFANTIL - ADULTO (QUE CONTENGA 9 VITAMINAS HIDROSOLUBLES)</t>
  </si>
  <si>
    <t>PEDIDO FARMACIA DOSIS UNITARIA. COMPRA AGIL DESPACHO AÉREO CARGO DEL PROVEEDOR. 1058012-487-COT24</t>
  </si>
  <si>
    <t>VITAMINAS HIDROSUBLES USO IV INFANTIL - ADULTO (QUE CONTENGA 9 VITAMINAS HIDROSOLUBLES)</t>
  </si>
  <si>
    <t>1058012-487-COT24</t>
  </si>
  <si>
    <t>EL HOSPITAL CLÍNICO DE MAGALLANES REQUIERE VITAMINAS HIDROSUBLES USO IV INFANTIL - ADULTO (QUE CONTENGA 9 VITAMINAS HIDROSOLUBLES).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</si>
  <si>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Cotización 20168464 , despacho en cajas cerradas, según factor de empaque. Despacho mínimo $200.000.- Oferta incluye despacho.</t>
  </si>
  <si>
    <t>1058012-2581-AG24</t>
  </si>
  <si>
    <t>FARMACIA DOSIS UNITARIA Y CENTRAL DE MEZCLAS/ VITAMINAS HIDROSUBLES USO IV INFANTIL - ADULTO (QUE CONTENGA 9 VITAMINAS HIDROSOLUBLES)</t>
  </si>
  <si>
    <t>PEDIDO FARMACIA DOSIS UNITARIA Y CENTRAL DE MEZCLAS. ID COMPRA AGIL DESPACHO AÉREO CARGO DEL PROVEEDOR. 1058012-613-COT24</t>
  </si>
  <si>
    <t>1058012-613-COT24</t>
  </si>
  <si>
    <t>Cotización_0020172712, despacho en cajas cerradas, según factor de empaque. Despacho mínimo $200.000.-</t>
  </si>
  <si>
    <t>1058012-423-AG24</t>
  </si>
  <si>
    <t>FALTA CENABAST FEBRERO / FLUTICASONA 27,5 MCG/DO SUSP. NAS.</t>
  </si>
  <si>
    <t>PEDIDO FALTA DISTRIBUCIÓN CENABAST FEBRERO. ADQUISICIÓN VÍA COMPRA ÁGIL. FLETE EXPRESO CARGO DEL PROVEEDOR. ZGEN 100004353. REF 1058012-144-COT24.</t>
  </si>
  <si>
    <t>ETEX FARMACEUTICA LIMITADA</t>
  </si>
  <si>
    <t>78.026.330-K</t>
  </si>
  <si>
    <t>FLUTICASONA 27,5 MCG/DO SUSP. NAS.</t>
  </si>
  <si>
    <t>1058012-144-COT24</t>
  </si>
  <si>
    <t>EL HOSPITAL CLÍNICO DE MAGALLANES REQUIERE FLUTICASONA 27,5 MCG/DO SUSP. NAS. INDICAR AL COTIZAR: VALOR UNITARIO TOTAL, PRESENTACIÓN (ML),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</si>
  <si>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10000000068114 ALENYS Susp Nebulización Nasal 27,5 mcg x 120 dosis Fluticasona Furoato VENCIMIENTO:Mayor a 12 Meses - ISP:F-16784/23 - Con cert. GMP. Despacho 3 dias habiles. Monto minimo de despacho $250.000 netos.</t>
  </si>
  <si>
    <t>1058012-6753-AG25</t>
  </si>
  <si>
    <t>FALTA CENABAST ABRIL/ ZIPRASIDONA 40 MG CP</t>
  </si>
  <si>
    <t>PEDIDO FALTA CENABAST ABRIL. COMPRA AGIL DESPACHO CARGO DEL PROVEEDOR. 100001579 1058012-203-COT25</t>
  </si>
  <si>
    <t>ZIPRASIDONA 40 MG CP</t>
  </si>
  <si>
    <t>Cápsula</t>
  </si>
  <si>
    <t>1058012-203-COT25</t>
  </si>
  <si>
    <t>EL HOSPITAL CLÍNICO DE MAGALLANES REQUIERE ZIPRASIDONA 40 MG CP. INDICAR AL COTIZAR: FECHA DE ENTREGA EN BODEGA DEL HCM, PRESENTACIÓN (ML), FECHA VCTO, ADJUNTAR FICHA TÉCNICA Y/O REGISTRO ISP, TIPO DE TRASLADO. POSTULAR SOLO SI CUENTA CON STOCK PARA DESPACHO INMEDIATO. COMPRA SUJETA A MULTA POR NO RESPETAR FECHA ESTIMADA DE ENTREGA DE LA OC. SE DESESTIMARÁ OFERTA QUE INDIQUE VALOR REFERENCIAL $0 o $1, O NO CUMPLAN CON LO SOLICITADO. MOTIVO IPORTANTE PARA DEJAR FUERA UNA OFERTA ES S</t>
  </si>
  <si>
    <t>1057402-3005-AG24</t>
  </si>
  <si>
    <t>(FAR) SUEROS Y ALCOHOLES MARZO / ALCOHOL ISOPROPILICO LT</t>
  </si>
  <si>
    <t>PEDIDO SUEROS Y ALCOHOLES MARZO. ADQUISICIÓN VÍA COMPRA ÁGIL. FLETE CARGO DEL PROVEEDOR. REF 1057402-462-COT24.</t>
  </si>
  <si>
    <t>ALCOHOL ISOPROPILICO LT. PUREZA x C.G 99.96% - HUMEDAD s/KF 0.019000% - P.ESPECIFICOS 20°C 0.7865 g/cc - ACIDEZ 0.0009% - COLOR APHA 3 - RANGO DESTILACION(°C) 81°-83°C - MAT.NO VOLATIL 0.4 m/g/100ml - ASPECTOS :LIQUIDO INCOLORO TRANSPARENTE.</t>
  </si>
  <si>
    <t>1057402-462-COT24</t>
  </si>
  <si>
    <t>SE REQUIERE PARA EL HOSPITAL CLÍNICO DE MAGALLANES ALCOHOL ISOPROPILICO LT. INDICAR: VALOR UNITARIO, PRESENTACIÓN Y EMPAQUE (ML), FECHA VCTO (SUPERIOR 1 AÑO), ADJUNTAR FICHA TÉCNICA Y/O REGISTRO ISP, IMAGEN DEL PRODUCTO, TIEMPO DE ENTREGA (ESPECIFICAR, PARA COORDINAR RETIRO CARGO HOSPITAL DE SER NECESARIO), E INDICAR SI CUENTA CON STOCK PARA DESPACHO INMEDIATO. NO SE CONSIDERARÁN OFERTAS QUE INDIQUEN VALOR REFERENCIAL $0 Ó $1 U OMITAN INFORMACIÓN.</t>
  </si>
  <si>
    <t>SE ADJUNTA COTIZACIÓN 495755. PLAZO ENTREGA 5 DÍAS HÁBILES FECHA RECEPCIÓN OC.</t>
  </si>
  <si>
    <t>1058012-4840-AG25</t>
  </si>
  <si>
    <t>COMPRA FARMACIA DOSIS UNITARIA/ TETRABENAZINA 25 MG CM</t>
  </si>
  <si>
    <t>PEDIDO COMPRA FARMACIA DOSIS UNITARIA. COMPRA AGIL DESPACHO AEREO CARGO DEL PROVEEDOR. 1058012-166-COT25 100004940</t>
  </si>
  <si>
    <t>TETRABENAZINA 25 MG CM</t>
  </si>
  <si>
    <t>1058012-166-COT25</t>
  </si>
  <si>
    <t>EL HOSPITAL CLÍNICO DE MAGALLANES REQUIERE DE FORMA URGENTE TETRABENAZINA 25 MG CM. INDICAR AL COTIZAR: VALOR UNITARIO TOTAL, PRESENTACIÓN (ML), FECHA VCTO, ADJUNTAR FICHA TÉCNICA Y/O REGISTRO ISP, TIPO DE TRASLADO y ESPECIFICAR FECHA DE ENTREGA EN NUESTRAS BODEGAS, NO DE DESPACHO DEL PRODUCTO. POSTULAR SOLO SI CUENTA CON STOCK PARA DESPACHO INMEDIATO. SE DESESTIMARÁ OFERTA QUE INDIQUE VALOR REFERENCIAL $0 o $1, O QUE NO CUMPLAN CON LO SOLICITADO EN ESPECIAL LA FECHA DE ENTREGA Y NO DE DESP</t>
  </si>
  <si>
    <t>AX1013400-TETMODIS 25 MG-F-18504 / 21-TETRABENAZINA-FRASCO 112 COMPRIMIDOS-ALMACENADO A NO MÁS DE 25°C PROTEGIDO DE LA LUZ-SE ADJUNTA DOCUMENTACIÓN TÉCNICA, CERTIFICADO DE FARMACOVIGILANCIA Y CONDICIONES DE VENTA. VENCE:JUN 2026</t>
  </si>
  <si>
    <t>1057402-14950-AG25</t>
  </si>
  <si>
    <t>(FAR) ANTISEPTICOS Y DESINFENCTANTES FEBRERO / CLORHEXIDINA 2% TINTURA 125 ML</t>
  </si>
  <si>
    <t>PEDIDO (FAR) ANTISEPTICOS Y DESINFENCTANTES FEBRERO. ADQUISICIÓN VÍA COMPRA ÁGIL. DESPACHO 15 DÍAS SEGÚN COTIZACIÓN. REF 1057402-295-COT25.</t>
  </si>
  <si>
    <t>HOSPITALIA PRODUCTOS MEDICOS LTDA</t>
  </si>
  <si>
    <t>78.233.420-4</t>
  </si>
  <si>
    <t>VENTA AL POR MAYOR DE OTROS PRODUCTOS N.C.P.</t>
  </si>
  <si>
    <t>CLORHEXIDINA 2% TINTURA ( BASE ALCOHOLICA ) 125 ML</t>
  </si>
  <si>
    <t>1057402-295-COT25</t>
  </si>
  <si>
    <t>EL HOSPITAL CLÍNICO DE MAGALLANES REQUIERE CLORHEXIDINA 2% TINTURA ( BASE ALCOHOLICA ) 125 ML. INDICAR AL COTIZAR: VALOR UNITARIO TOTAL, PRESENTACIÓN (ML), FECHA VCTO, ADJUNTAR FICHA TÉCNICA Y/O REGISTRO ISP, TIPO DE TRASLADO y ESPECIFICAR FECHA DE ENTREGA, INDICAR SI CUENTA CON STOCK PARA DESPACHO INMEDIATO. SE DECLARARA INADMISIBLE OFERTA QUE INDIQUE VALOR REFERENCIAL $0 o $1, U OMITAN INFORMACIÓN Y DOCUMENTOS TÉCNICOS.</t>
  </si>
  <si>
    <t>Cotización Hospitalia. Factor de empaque cartón x 30 unidades. Código BRRI004 Se adjunta ficha técnica para su evaluación. Favor tomar en consideración factor de empaque y cotización adjunta. Despacho 15 días - solo mié - Favor considerar Venc: Sept/2026</t>
  </si>
  <si>
    <t>1057402-26315-AG25</t>
  </si>
  <si>
    <t>(FAR) PEDIATRIA HCM / GLICERINA LIQUIDA USP</t>
  </si>
  <si>
    <t>PEDIDO (FAR) PEDIATRIA HCM ADQUISICION A TRAVES DE COMPRA AGIL DESPACHO 24 A 48 HORAS CARGO DEL PROVEEDOR REF: 1057402-1107-COT25</t>
  </si>
  <si>
    <t>GLICERINA LIQUIDA USP LT.</t>
  </si>
  <si>
    <t>1057402-1107-COT25</t>
  </si>
  <si>
    <t>EL HCM REQUIERE GLICERINA LIQUIDA USP.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</si>
  <si>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GLICERINA LIQUIDA USP</t>
  </si>
  <si>
    <t>1058012-7163-AG25</t>
  </si>
  <si>
    <t>FARMACIA DOSIS UNITARIA MAYO/ FITOMENADIONA 10 MG ML ADMINISTRACIÓN vía EV</t>
  </si>
  <si>
    <t>PEDIDO FARMACIA DOSIS UNITARIA MAYO. COMPRA AGIL DESPACHO AEREO CARGO DEL PROVEEDOR. 1058012-326-COT25</t>
  </si>
  <si>
    <t>SERVICIOS FARMACEUTICOS Y DE SALUD QAFARMA SPA</t>
  </si>
  <si>
    <t>78.045.809-7</t>
  </si>
  <si>
    <t>NoClasificado</t>
  </si>
  <si>
    <t>FITOMENADIONA 10 MG ML ADMINISTRACIÓN vía EV (endovenoso)</t>
  </si>
  <si>
    <t>1058012-326-COT25</t>
  </si>
  <si>
    <t>EL HOSPITAL CLÍNICO DE MAGALLANES REQUIERE FITOMENADIONA 10 MG ML ADMINIS. INDICAR AL COTIZAR: VALOR UNITARIO TOTAL, PRESENTACIÓN (ML), FECHA VCTO, ADJUNTAR FICHA TÉCNICA Y/O REGISTRO ISP, TIPO DE TRASLADO y ESPECIFICAR FECHA DE ENTREGA EN NUESTRAS BODEGAS, NO DE DESPACHO DEL PRODUCTO. POSTULAR SOLO SI CUENTA CON STOCK PARA DESPACHO INMEDIATO. COMPRA SUJETA A MULTA POR NO RESPETAR FECHA ESTIMADA DE ENTREGA DE LA OC. SE DESESTIMARÁ OFERTA QUE INDIQUE VALOR $0 o $1, O NO CUMPLAN CON LO SOLICITADO</t>
  </si>
  <si>
    <t>Detalles en cotización adjunta, OC mínima $100.000, despacho sin costo extra en 48- 72 horas una vez aceptada la OC, correo qa.farmavidda@gmail.com CONSULTAS: +56946283996 Tamara Acuña</t>
  </si>
  <si>
    <t>1058012-631-AG24</t>
  </si>
  <si>
    <t>COMPRA ALTERNATIVA FALTA CENABAST FEBRERO / VITAMINAS A-C-D FRA GOTAS</t>
  </si>
  <si>
    <t>COMPRA ALTERNATIVA POR FALTA DE STOCK EN PROVEEDOR N° ORDEN 1058012-415-SE24. ADQUISICIÓN VÍA COMPRA ÁGIL. FLETE CARGO DEL PROVEEDOR. ZGEN 100001058. REF 1058012-196-COT24.</t>
  </si>
  <si>
    <t>ETHON PHARMACEUTICALS COMERCIALIZADORA IMP EXP Y DIST SPA</t>
  </si>
  <si>
    <t>76.956.140-4</t>
  </si>
  <si>
    <t>VENTA AL POR MAYOR DE ARTICULOS DE PERFUMERIA, COSMETICOS, JABONES Y P| VENTA AL POR MAYOR DE PRODUCTOS FARMACEUTICOS| VENTA AL POR MAYOR DE PRODUCTOS QUIMICOS</t>
  </si>
  <si>
    <t>Región del Libertador General Bernardo O´Higgins</t>
  </si>
  <si>
    <t>VITAMINA A-C-D FRA GOTAS</t>
  </si>
  <si>
    <t>1058012-196-COT24</t>
  </si>
  <si>
    <t>EL HOSPITAL CLÍNICO DE MAGALLANES REQUIERE VITAMINA A-C-D FRA GOTAS. INDICAR AL COTIZAR: VALOR UNITARIO TOTAL, PRESENTACIÓN (ML),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</si>
  <si>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VITAMINA ACD / 30ML SOLUCION ORAL. LABORATORIO CHILE. VITAMINA A-C-D. REG ISP F-21649. VCTO 11-2025 Entrega en 48 horas una vez aceptada la orden de compra. Monto mínimo de compra 50.000 neto Sin costo por despacho. Vigencia de cotización 60 días.</t>
  </si>
  <si>
    <t>1058012-7700-AG25</t>
  </si>
  <si>
    <t>MEDICAMENTO ONCOLOGÍA Y FARMACIA AMBULATORIA JULIO / GEL VISCOSO COADYUVANTE</t>
  </si>
  <si>
    <t>PEDIDO MEDICAMENTO ONCOLOGÍA Y FARMACIA AMBULATORIA JULIO. ADQUISICIÓN VÍA COMPRA ÁGIL. DESPACHO 3 DÍAS CARGO DEL PROVEEDOR SEGÚN COTIZACIÓN. REF 1058012-454-COT25.</t>
  </si>
  <si>
    <t>GEL VISCOSO COADYUVANTE EN TRATAMIENTO DE LESIONES DE LA MUCOSA BUCAL QUE CONTIENE: HIALURONATO DE SODIO, ÁCIDO GLICIRRETÍNICO, POLIVINILPIRROLIDON A (PVP), MALTODEXTRINA, PROPILENGLICOL</t>
  </si>
  <si>
    <t>Sachet</t>
  </si>
  <si>
    <t>1058012-454-COT25</t>
  </si>
  <si>
    <t>EL HOSPITAL CLÍNICO DE MAGALLANES REQUIERE GEL VISCOSO COADYUVANTE. INDICAR AL COTIZAR: VALOR UNITARIO TOTAL, PRESENTACIÓN (UD),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SOLICITADA.</t>
  </si>
  <si>
    <t>GELCLAIR® GEL ORAL CONCENTRADO PARA LA RESTAURACIÓN DE MUCOSA ORAL. COMPOSICIÓN: HIALURONATO DE SODIO, ACIDO GLICIRETÍNICO, POLIVINIL PIRROLIDONA (PVP). CJ X 3 SACHET. CERTIFICACIÓN EMA, FABRICADO BAJO NORMA ISO 13485:2016. PERIODO DE EFICACIA 36 MESES.</t>
  </si>
  <si>
    <t>1058012-4605-AG25</t>
  </si>
  <si>
    <t>PEDIDO FARMACIA DOSIS UNITARIA/FITOMENADIONA 10 MG ML ADMINISTRACIÓN vía EV</t>
  </si>
  <si>
    <t>PEDIDO FARMACIA DOSIS UNITARIA. COMPRA AGIL DESPACHO CARGO DEL PROVEEDOR. 1058012-129-COT25</t>
  </si>
  <si>
    <t>FITOMENADIONA 10 MG ML ADMINISTRACIÓN I.V.</t>
  </si>
  <si>
    <t>1058012-129-COT25</t>
  </si>
  <si>
    <t>EL HOSPITAL CLÍNICO DE MAGALLANES REQUIERE FITOMENADIONA 10 MG ML ADMINISTRACIÓN I.V. INDICAR AL COTIZAR: VALOR UNITARIO TOTAL, PRESENTACIÓN (AM),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</si>
  <si>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FACTURACIÓN MÍNIMA $50.000+IVA PARA SANTIAGO Y $75.000+IVA PARA REGIONES,DESPACHO:STGO 24-48 HR Y REGIONES 48-72 HR, FLETE ADICIONAL SOLO SUEROS X VOLUMEN,UNIDAD MIN. COTIZADA, SE AJUSTARÁ A FACTOR DE EMPAQUE, REG.ISP, FACTURA ELECTRÓNICA.</t>
  </si>
  <si>
    <t>1057402-938-AG24</t>
  </si>
  <si>
    <t>(FAR) ANTIS Y DESINF FEBRERO / CLORHEXIDINA 2% ACUOSA TOPICA 500 ML</t>
  </si>
  <si>
    <t>PEDIDO ANTIS Y DESINF FEBRERO. ADQUISICIÓN VÍA COMPRA ÁGIL. FLETE CARGO DEL PROVEEDOR. REF 1057402-144-COT24</t>
  </si>
  <si>
    <t>1057402-144-COT24</t>
  </si>
  <si>
    <t>SE REQUIERE PARA EL HOSPITAL CLÍNICO DE MAGALLANES CLORHEXIDINA 2% ACUOSA TOPICA 500 ML. INDICAR: VALOR UNITARIO, PRESENTACIÓN Y EMPAQUE (ML), FECHA VCTO (SUPERIOR 1 AÑO), ADJUNTAR FICHA TÉCNICA Y/O REGISTRO ISP, IMAGEN DEL PRODUCTO, TIEMPO DE ENTREGA (ESPECIFICAR, PARA COORDINAR RETIRO CARGO HOSPITAL DE SER NECESARIO), E INDICAR SI CUENTA CON STOCK PARA DESPACHO INMEDIATO. NO SE CONSIDERARÁN OFERTAS QUE INDIQUEN VALOR REFERENCIAL $0 Ó $1 U OMITAN INFORMACIÓN.</t>
  </si>
  <si>
    <t>Dichlorexan Solución Acuosa 2% 500cc. Marca DIFEM, procedencia nacional. Sin alcohol, para antisepsia de piel. Registro ISP. Estudio microb según resolución 89. Con inserto dosificador. Vig 18 meses. Cajas x 20 unidades. vencimiento 05/25.</t>
  </si>
  <si>
    <t>1058012-7754-AG25</t>
  </si>
  <si>
    <t>COMPRA ALTERNATIVA URGENTE STOCK CRÍTICO FARMACIA AMBULATORIA JULIO / ENOXAPARINA SODICA 80 MG 0,8 ML</t>
  </si>
  <si>
    <t>COMPRA ALTERNATIVA POR FALTA DE STOCK EN PROVEEDOR OC N° 1058012-7612-SE25. ADQUISICIÓN VÍA COMPRA ÁGIL. DESPACHO 5 A 7 DÍAS HÁBILES CARGO DEL PROVEEDOR SEGÚN COTIZACIÓN. ZGEN 100000553. REF 1058012-464-COT25.</t>
  </si>
  <si>
    <t>INVERSIONES PHARMAVISAN SOCIEDAD ANONIMA</t>
  </si>
  <si>
    <t>76.055.804-4</t>
  </si>
  <si>
    <t>VENTA AL POR MENOR DE PRODUCTOS MEDICINALES| VENTAS AL POR MENOR DE OTROS PRODUCTOS EN ALMACENES ESPECIALIZADOS N.C</t>
  </si>
  <si>
    <t>ENOXAPARINA SODICA 80 MG 0,8 ML</t>
  </si>
  <si>
    <t>1058012-464-COT25</t>
  </si>
  <si>
    <t>EL HOSPITAL CLÍNICO DE MAGALLANES REQUIERE ENOXAPARINA SODICA 80 MG 0,8 ML. INDICAR AL COTIZAR: VALOR UNITARIO TOTAL, PRESENTACIÓN (UD), FECHA VCTO, ADJUNTAR FICHA TÉCNICA Y/O REGISTRO ISP, TIPO DE TRASLADO (ESPECIFICAR, PARA ACORDAR RETIRO CARGO HOSPITAL DE SER NECESARIO), E INDICAR SI CUENTA CON STOCK PARA DESPACHO INMEDIATO. SE DECLARARÁ INADMISIBLE OFERTA QUE INDIQUE VALOR REFERENCIAL $1, U OMITAN INFORMACIÓN Y DOCUMENTOS SOLICITADOS.</t>
  </si>
  <si>
    <t>Se adjunta cotización solicitada en base a stock disponible para despacho en 5-7 días hábiles, una vez aceptada la OC, monto mínimo de despacho $150.000 netos y servicio de post venta. Vanessa Sandoval Correo: licitaciones@pharmavisan.cl Fono:223039414.</t>
  </si>
  <si>
    <t>1058012-7844-AG25</t>
  </si>
  <si>
    <t>COMPRA ALTERNATIVA FARMACIA DU JULIO / ENOXAPARINA SODICA 80 MG 0,8 ML JGA</t>
  </si>
  <si>
    <t>COMPRA ALTERNATIVA POR FALTA DE STOCK EN PROVEEDOR OC N° 1058012-7698-SE25. ADQUISICIÓN VÍA COMPRA ÁGIL. DESPACHO 7 DÍAS HÁBILES CARGO DEL PROVEEDOR SEGÚN COTIZACIÓN. ZGEN 100000553. REF 1058012-490-COT25.</t>
  </si>
  <si>
    <t>ENOXAPARINA SODICA 80 MG 0,8 ML JGA</t>
  </si>
  <si>
    <t>1058012-490-COT25</t>
  </si>
  <si>
    <t>EL HOSPITAL CLÍNICO DE MAGALLANES REQUIERE ENOXAPARINA SODICA 80 MG. INDICAR AL COTIZAR: VALOR UNITARIO TOTAL, PRESENTACIÓN (UD),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</t>
  </si>
  <si>
    <t>Se adjunta cotización solicitada en base a stock disponible para despacho en 5-7 días hábiles, una vez aceptada la OC, monto mínimo de despacho $150.000 netos y servicio de post venta. Claudia Pérez Correo: licitaciones@pharmavisan.cl Fono:223039416</t>
  </si>
  <si>
    <t>1058012-1127-AG24</t>
  </si>
  <si>
    <t>FARMACIA FALTA PROGRAMA VIH MAYO / BICTEGRAVIR/EMTRICITAVINA/TENOFOVIR ALAFEMNAMIDA 50/200/25 MG CM</t>
  </si>
  <si>
    <t>PEDIDO FARMACIA [FALTA PROGRAMA VIH] MAYO. ADQUISICIÓN VÍA COMPRA ÁGIL. FLETE CARGO DEL PROVEEDOR. REF 1058012-351-COT24.</t>
  </si>
  <si>
    <t>BICTEGRAVIR /EMTRICITABINA /TENOFOVIR ALAFENAMIDA FUMARATO 50/200/25 MG CM</t>
  </si>
  <si>
    <t>1058012-351-COT24</t>
  </si>
  <si>
    <t>EL HOSPITAL CLÍNICO DE MAGALLANES REQUIERE BICTEGRAVIR-EMTRICITA-VINATENOFOVIR-ALAFEMNAMIDA 50/200/25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</si>
  <si>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BIKTARVY, BICTEGRAVIR 50 mg-EMTRICITABINA 200mg-TENOFOVIR ALAFENAMIDA 25 mg contiene 30 comprimidos recubiertos. REG ISP: F-24969-19 Plazo entrega: 5 días hábiles desde aceptada la OC, sin canje, sin monto mínimo despacho. Vencimiento:30-12-2025.</t>
  </si>
  <si>
    <t>1058012-6776-AG25</t>
  </si>
  <si>
    <t>FARMACIA DOSIS UNITARIA ABRIL / FITOMENADIONA 10 MG ML ADMINISTRACIÓN vía EV</t>
  </si>
  <si>
    <t>PEDIDO STOCK CRÍTICO F. DOSIS UNITARIA. COMPRA AGIL DESPACHO CARGO DEL PROVEEDOR. 1058012-210-COT25</t>
  </si>
  <si>
    <t>1058012-210-COT25</t>
  </si>
  <si>
    <t>JT-FACTURACION MINIMA $50.000+IVA PARA SANTIAGO Y $75.000+IVA PARA REGIONES, DESPACHO: STGO 24-48 HR Y REGIONES 48-72 HRS, FLETE ADICIONALSOLO SUEROS X VOLUMEN, UNIDAD MIN. COTIZADA, SE AJUSTARÁ A FACTOR DE EMPAQUE, REG.ISP, FACT.ELECTRONICA.</t>
  </si>
  <si>
    <t>1058012-7010-AG25</t>
  </si>
  <si>
    <t>PEDIDO FARMACIA DOSIS UNITARIA/ MUPIROCINA 2% TOPICO</t>
  </si>
  <si>
    <t>PEDIDO STOCK CRÍTICO F. DOSIS UNITARIA. COMPRA AGIL DESPACHO CARGO DEL PROVEEDOR. 1058012-286-COT25</t>
  </si>
  <si>
    <t>MUPIROCINA 2% TOPICO</t>
  </si>
  <si>
    <t>1058012-286-COT25</t>
  </si>
  <si>
    <t>EL HCM REQUIERE MUPIROCINA 2% TOPICO.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$0 o $1. SE DEJARA INADMISIBLE LA OFERTA QUE SOBREPASE EL VALOR DEL MONTO ESTIMADO O NO CUMPLA CON LOS DIAS Y DOC. SOLICITADOS.</t>
  </si>
  <si>
    <t>MONTO MÍNIMO DE FACTURACION $50.000+IVA PARA SANTIAGO Y $ 75.000+IVA PARA REGIONES. DESPACHO: DE 24 HORAS, CONTAMOS CON FACTURA ELECTRÓNICA.TODOS NUESTROS PRODUCTOS CUENTAN CON REGISTRO ISP. FLETE SIN RECARGO.GARANTIZAMOS SERVICIO DE POST-VENTA.</t>
  </si>
  <si>
    <t>1058012-1111-AG24</t>
  </si>
  <si>
    <t>FARMACIA AMBULATORIA MAYO / FAMPRIDINA 10 MG CM</t>
  </si>
  <si>
    <t>PEDIDO FARMACIA AMBULATORIA MAYO. ADQUISICIÓN VÍA COMPRA ÁGIL. FLETE CARGO DEL PROVEEDOR. REF 1058012-324-COT24.</t>
  </si>
  <si>
    <t>BIOGEN CHILE SPA</t>
  </si>
  <si>
    <t>76.099.774-9</t>
  </si>
  <si>
    <t>VENTA AL POR MAYOR DE PRODUCTOS FARMACEUTICOS| SOCIEDADES DE INVERSION Y RENTISTAS DE CAPITALES MOBILIARIOS EN GENERA| ACTIVIDADES DE INVESTIGACION</t>
  </si>
  <si>
    <t>FAMPRIDINA 10 MG CM</t>
  </si>
  <si>
    <t>1058012-324-COT24</t>
  </si>
  <si>
    <t>EL HOSPITAL CLÍNICO DE MAGALLANES REQUIERE FAMPRIDINA 10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</si>
  <si>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Oferta de Biogen Chile SpA por Fampridina 10 mg. Precio neto por comprimido: 3.507 CLP Sin IVA. Unidad mínima de despacho corresponde a 1 caja con 56 comprimidos. Incluye despacho. Registro ISP F-19932/23 Vencimiento 31-03-2026</t>
  </si>
  <si>
    <t>1058012-6769-AG25</t>
  </si>
  <si>
    <t>COMPRA ALTERNATIVA FARMACIA AMBULATORIA ABRIL / LEVOCETIRIZINA 5 MG ML GTS</t>
  </si>
  <si>
    <t>COMPRA ALTERNATIVA POR FALTA DE STOCK EN PROVEEDOR OC N° 1058012-6697-SE25. ADQUISICIÓN VÍA COMPRA ÁGIL. DESPACHO 7 DÍAS CARGO DEL PROVEEDOR SEGÚN COTIZACIÓN. ZGEN 100005295. REF 1058012-216-COT25</t>
  </si>
  <si>
    <t>LEVOCETIRIZINA 5 MG ML GTS</t>
  </si>
  <si>
    <t>1058012-216-COT25</t>
  </si>
  <si>
    <t>EL HOSPITAL CLÍNICO DE MAGALLANES REQUIERE LEVOCETIRIZINA 5 MG ML GTS. INDICAR AL COTIZAR: VALOR UNITARIO TOTAL, PRESENTACIÓN (ML),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</si>
  <si>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1058012-7372-AG25</t>
  </si>
  <si>
    <t>FALTA CENABAST/NITROGLICERINA 50MG/10ML SOL. INY. AM/FAM</t>
  </si>
  <si>
    <t>PEDIDO FRALTA CENABAST. COMPRA AGIL. DESPACHO A CARGO DEL PROVEEDOR. 1058012-375-COT25</t>
  </si>
  <si>
    <t>NITROGLICERINA 50MG/10ML SOL. INY. AM/FAM</t>
  </si>
  <si>
    <t>1058012-375-COT25</t>
  </si>
  <si>
    <t>EL HCM REQUIERE NITROGLICERINA 50MG/10ML SOL. INY. AM/FAM.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</si>
  <si>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1058012-2995-AG24</t>
  </si>
  <si>
    <t>PEDIDO COMITÉ FARMACIA/OLANZAPINA 50 MG</t>
  </si>
  <si>
    <t>PEDIDO COMITE FARMACIA. COMPRA AGIL DESPACHO CARGO DEL PROVEEDOR. 1058012-673-COT24</t>
  </si>
  <si>
    <t>OLANZAPINA 5 MG BUCODISPERSABLE</t>
  </si>
  <si>
    <t>1058012-673-COT24</t>
  </si>
  <si>
    <t>EL HOSPITAL CLÍNICO DE MAGALLANES REQUIERE OLANZAPINA 5 MG BUCODISPERSABLE.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</si>
  <si>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ZYPREXA ZYDIS COM. 5MG. CX14, COSTO FLETE INCLUIDO, DESPACHO DE 24 A 48 HORAS, UNA VEZ ACEPTADA LA ORDEN DE COMPRA, SIN MÍNIMO DE FACTURACIÓN, VENCE SUPERIOR A 12 MESES (PV) pvalencia@adnfarmaceutica.cl</t>
  </si>
  <si>
    <t>1058012-1772-AG24</t>
  </si>
  <si>
    <t>STOCK CRÍTICO FARMACIA DOSIS UNITARIA/KETAMINA CLOR, 500 MG/10 ML FA</t>
  </si>
  <si>
    <t>PEDIDO STOCK CRÍTICO FARMACIA DOSIS UNITARIA. ADQUISICIÓN VIA COMPRA ÁGIL FLETE A CARGO DEL PROVEEDOR REF 1058012-493-COT24</t>
  </si>
  <si>
    <t>LABORATORIO SANDERSON SA</t>
  </si>
  <si>
    <t>91.546.000-3</t>
  </si>
  <si>
    <t>KETAMINA CLOR, 500 MG/10 ML FA</t>
  </si>
  <si>
    <t>1058012-493-COT24</t>
  </si>
  <si>
    <t>EL HOSPITAL CLÍNICO DE MAGALLANES REQUIERE KETAMINA CLOR, 500 MG/10 ML FA.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</si>
  <si>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COTIZACION N° 20168618 Despacho en cajas cerradas, según factor de empaque. | fecha de vencimiento 09.2024 y no contempla carta de canje | precio incluye traslado</t>
  </si>
  <si>
    <t>1058012-7747-AG25</t>
  </si>
  <si>
    <t>FARMACIA AMBULATORIA JULIO-DICIEMBRE / JALEA LAXANTE</t>
  </si>
  <si>
    <t>PEDIDO FARMACIA AMBULATORIA JULIO-DICIEMBRE. ADQUISICIÓN VÍA COMPRA ÁGIL. DESPACHO 48 HRS. CARGO DEL PROVEEDOR SEGÚN COTIZACIÓN. REF 1058012-457-COT25.</t>
  </si>
  <si>
    <t>BECRUX LABS SPA</t>
  </si>
  <si>
    <t>77.354.932-K</t>
  </si>
  <si>
    <t>VENTA AL POR MAYOR DE ARTICULOS DE PERFUMERIA, DE TOCADOR Y COSMETICOS</t>
  </si>
  <si>
    <t>JALEA LAXANTE CUYA COMPOSICIÓN CONTENGA C/100 G 8G DE PC HOJA DE SEN. EG POLVO DE RIZOMA Y RAIZ DE ORORUZ Y PULPA DE CIRUELA (O SIMILAR)</t>
  </si>
  <si>
    <t>Pote</t>
  </si>
  <si>
    <t>1058012-457-COT25</t>
  </si>
  <si>
    <t>EL HOSPITAL CLÍNICO DE MAGALLANES REQUIERE JALEA LAXANTE. INDICAR AL COTIZAR: VALOR UNITARIO TOTAL, PRESENTACIÓN (GR),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SOLICITADA.</t>
  </si>
  <si>
    <t>SE ADJUNTA COTIZACION Entrega en 48 horas una vez aceptada la orden de compra. Monto minimo de compra 50.000 neto. Afecto a políticas de canje. Sin costo por despacho. Vigencia de cotización 60 días</t>
  </si>
  <si>
    <t>1057402-948-AG24</t>
  </si>
  <si>
    <t>(FAR) ANTIS Y DESINF FEBRERO / JABÓN NEUTRO BS 800 ML</t>
  </si>
  <si>
    <t>PEDIDO ANTIS Y DESINF FEBRERO. ADQUISICIÓN VÍA COMPRA ÁGIL. FLETE CARGO DEL PROVEEDOR. REF 1057402-143-COT24</t>
  </si>
  <si>
    <t>JABÓN NEUTRO BS 800 ML</t>
  </si>
  <si>
    <t>1057402-143-COT24</t>
  </si>
  <si>
    <t>SE REQUIERE PARA EL HOSPITAL CLÍNICO DE MAGALLANES JABÓN NEUTRO BS 800 ML PARA DISPENSADOR DE PARED TIPO MANO. INDICAR: VALOR UNITARIO, PRESENTACIÓN (ML) Y EMPAQUE, FECHA VCTO (SUPERIOR 1 AÑO), ADJUNTAR FICHA TÉCNICA Y/O REGISTRO ISP, IMAGEN DEL PRODUCTO, TIEMPO DE ENTREGA (ESPECIFICAR, PARA COORDINAR RETIRO CARGO HOSPITAL DE SER NECESARIO), E INDICAR SI CUENTA CON STOCK PARA DESPACHO INMEDIATO. NO SE CONSIDERARÁN OFERTAS QUE INDIQUEN VALOR REFERENCIAL $0 Ó $1 U OMITAN INFORMACIÓN.</t>
  </si>
  <si>
    <t>Jabón Neutro Balsámico Sin Aroma 800cc. Compatible con dispensador mural BW. Marca DIFEM, procedencia nacional. Jabón líquido para lavado de manos frecuente. Cajas de 12 unid. vencimiento 11/26, Despacho 10-15 días. khijerra@difem.cl. Stock inmediato.</t>
  </si>
  <si>
    <t>1058012-7543-AG25</t>
  </si>
  <si>
    <t>FALTA CENABAST / SULBACTAM / AMPICILINA 500-1000 MG FAM</t>
  </si>
  <si>
    <t>PEDIDO FALTA CENABAST. COMPRA AGIL. DESPACHO A CARGO DEL PROVEEDOR. 1058012-436-COT25</t>
  </si>
  <si>
    <t>SULBACTAM / AMPICILINA 500-1000 MG FAM</t>
  </si>
  <si>
    <t>1058012-436-COT25</t>
  </si>
  <si>
    <t>EL HCM REQUIERE SULBACTAM / AMPICILINA 500-1000 MG FAM.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</t>
  </si>
  <si>
    <t>UNASYN IM/IV INY 0.5/1.0MG AMPICILINA + SULBACTAM DE PFIZER. Valor ofertado corresponde a 1 frasco ampolla. Envase de venta: caja x 1 frasco Ampolla. REGISTRO ISP N° F-4436-25. Vencimiento 30-04-2027.Monto mínimo de despacho $100.000</t>
  </si>
  <si>
    <t>1058012-587-AG24</t>
  </si>
  <si>
    <t>COMPRA FARMACIA/ TENOFOVIR/LAMIVUDINA/DOLUTEGRAVIR 300/300/50 MG CM</t>
  </si>
  <si>
    <t>PEDIDO STOCK CRÍTICO F. DOSIS UNITARIA. ID 1058012-74-LQ23 DESPACHO 72 HORAS, CARGO DEL PROVEEDOR. 1058012-179-COT24 100005050</t>
  </si>
  <si>
    <t>PHARMARIS CHILE SPA</t>
  </si>
  <si>
    <t>76.418.921-3</t>
  </si>
  <si>
    <t>Imp. y Comercializacion Productos Farmaceuticos</t>
  </si>
  <si>
    <t>TENOFOVIR/LAMIVUDINA/DOLUTEGRAVIR 300/300/50 MG CM</t>
  </si>
  <si>
    <t>1058012-179-COT24</t>
  </si>
  <si>
    <t>EL HOSPITAL CLÍNICO DE MAGALLANES REQUIERE TENOFOVIR/LAMIVUDINA/DOLUTEGRAVIR 300/300/50 MG CM.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</si>
  <si>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ACRIPTEGA: TENOFOVIR/LAMIVUDINA/DOLUTEGRAVIR 300/300/50 MG CM Stock disponible con vencimiento julio 2025</t>
  </si>
  <si>
    <t>1058012-103-AG25</t>
  </si>
  <si>
    <t>FARMACIA AMBULATORIA ENERO / LIDOCAINA 2% GEL ORAL</t>
  </si>
  <si>
    <t>PEDIDO FARMACIA AMBULATORIA ENERO. ADQUISICIÓN VÍA COMPRA ÁGIL. FLETE 24 A 48 HRS. SEGÚN COTIZACIÓN. REF 1058012-12-COT25.</t>
  </si>
  <si>
    <t>LIDOCAINA 2% GEL ORAL</t>
  </si>
  <si>
    <t>1058012-12-COT25</t>
  </si>
  <si>
    <t>L HOSPITAL CLÍNICO DE MAGALLANES REQUIERE LIDOCAINA 2% GEL ORAL. INDICAR AL COTIZAR: VALOR UNITARIO TOTAL, PRESENTACIÓN (UD),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</si>
  <si>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GELCAIN 2% GEL BUCAL X 30 G, COSTO FLETE INCLUIDO, DESPACHO DE 24 A 48 HORAS, UNA VEZ ACEPTADA LA ORDEN DE COMPRA, SIN MÍNIMO DE FACTURACIÓN, VENCE SUPERIOR A 12 MESES (PV) pvalencia@adnfarmaceutica.cl</t>
  </si>
  <si>
    <t>1058012-7470-AG25</t>
  </si>
  <si>
    <t>COMPRA ALTERNATIVA (7275) FALTA CENABAST/EPINEFRINA 1MG/1ML AMP</t>
  </si>
  <si>
    <t>PEDIDO FALTAS CENABAST JUNIO. COMPRA ALTERNATIVA. COMPRA ÁGIL. DESPACHO A CARGO DEL PROVEEDOR. 1058012-416-COT25</t>
  </si>
  <si>
    <t>COMERCIAL MURTA SPA</t>
  </si>
  <si>
    <t>76.696.518-0</t>
  </si>
  <si>
    <t>IMPORTACION Y COMERCIALIZACION. GESTION INMOBILIARIA Y MANTENCIÓN</t>
  </si>
  <si>
    <t>Región de la Araucanía</t>
  </si>
  <si>
    <t>EPINEFRINA 1MG/1ML AMP</t>
  </si>
  <si>
    <t>1058012-416-COT25</t>
  </si>
  <si>
    <t>EL HCM REQUIERE EPINEFRINA 1MG/1ML AMP.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</si>
  <si>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Cotización adjunta. vencimiento superior a 14meses. Envío gratuito en 24h. Contacto: Felipe Palavecinos +56962245657 comercialmurta@gmail.com. Política de canje disponible en todos nuestros productos</t>
  </si>
  <si>
    <t>1058012-1256-AG24</t>
  </si>
  <si>
    <t>COMITÉ FARMACIA MAYO / OLANZAPINA 5 MG CM BUCODISPERSABLES</t>
  </si>
  <si>
    <t>PEDIDO COMITÉ FARMACIA MAYO. ADQUISICIÓN VÍA COMPRA ÁGIL. FLETE CARGO DEL PROVEEDOR. REF 1058012-369-COT24. COMITÉ FARMACIA N°4 DEL 29-04-2024.</t>
  </si>
  <si>
    <t>TECNOFARMA S A</t>
  </si>
  <si>
    <t>88.466.300-8</t>
  </si>
  <si>
    <t>OLANZAPINA 5 MG CM BUCODISPERSABLES</t>
  </si>
  <si>
    <t>1058012-369-COT24</t>
  </si>
  <si>
    <t>EL HOSPITAL CLÍNICO DE MAGALLANES REQUIERE OLANZAPINA 5 MG CM. INDICAR AL COTIZAR: VALOR UNITARIO TOTAL, PRESENTACIÓN (CM), FECHA VCTO, ADJUNTAR FICHA TÉCNICA Y/O REGISTRO ISP, TIPO DE TRASLADO CARGO PROVEEDOR. (ESPECIFICAR, PARA ACORDAR RETIRO CARGO HOSPITAL DE SER NECESARIO), E INDICAR SI CUENTA CON STOCK PARA DESPACHO INMEDIATO. SE DESESTIMARÁ OFERTA QUE INDIQUE VALOR REFERENCIAL $0 o $1, U OMITAN INFORMACIÓN Y NO ADJUNTEN DOCUMENTOS.</t>
  </si>
  <si>
    <t>ZYPREXA ZYDIS COMPRIMIDOS BUCODISPERSABLES 5 mg (Olanzapina). Presentación caja x 14 comprimidos bucodispersables. Registro ISP F-11820-22. Valor ofertado corresponde a 1 comp bucodispersable. Monto mínimo para despacho $150.000 + IVA. Vcto 25-jul.-2026</t>
  </si>
  <si>
    <t>1058012-1504-AG24</t>
  </si>
  <si>
    <t>FALTA CENABAST JUNIO / LEVONORGESTREL 0,75 MG CM</t>
  </si>
  <si>
    <t>PEDIDO FALTA DISTRIBUCIÓN CENABAST JUNIO. ADQUISICIÓN VÍA COMPRA ÁGIL. FLETE CARGO DEL PROVEEDOR. ZGEN 100001701. REF 1058012-409-COT24.</t>
  </si>
  <si>
    <t>LEVONORGESTREL 0,75 MG CM</t>
  </si>
  <si>
    <t>1058012-409-COT24</t>
  </si>
  <si>
    <t>EL HOSPITAL CLÍNICO DE MAGALLANES REQUIERE LEVONORGESTREL 0,75 MG CM 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</si>
  <si>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SE ADJUNTA COTIZACION Entrega en 48 horas una vez aceptada la orden de compra. Monto mínimo de compra 50.000 neto Sin costo por despacho. Vigencia de cotización 60 días.</t>
  </si>
  <si>
    <t>1057402-1835-AG24</t>
  </si>
  <si>
    <t>(FAR) SUEROS Y ALCOHOLES FEBRERO / FORMALINA TAMPONADA</t>
  </si>
  <si>
    <t>PEDIDO SUEROS Y ALCOHOLES FEBRERO. ADQUISICIÓN VÍA COMPRA ÁGIL. FELTE CARGO DEL PROVEEDOR. REF 1057402-288-COT24.</t>
  </si>
  <si>
    <t>FORMALINA TAMPONADA LT</t>
  </si>
  <si>
    <t>1057402-288-COT24</t>
  </si>
  <si>
    <t>SE REQUIERE PARA EL HOSPITAL CLÍNICO DE MAGALLANES FORMALINA TAMPONADA LT. INDICAR: VALOR UNITARIO, PRESENTACIÓN Y EMPAQUE (ML), FECHA VCTO, ADJUNTAR FICHA TÉCNICA Y/O REGISTRO ISP, IMAGEN DEL PRODUCTO, TIEMPO DE ENTREGA (ESPECIFICAR, PARA COORDINAR RETIRO CARGO HOSPITAL DE SER NECESARIO), E INDICAR SI CUENTA CON STOCK PARA DESPACHO INMEDIATO. NO SE CONSIDERARÁN OFERTAS QUE INDIQUEN VALOR REFERENCIAL $0 Ó $1 U OMITAN INFORMACIÓN.</t>
  </si>
  <si>
    <t>Formalina tamponada litro</t>
  </si>
  <si>
    <t>1057402-5623-AG24</t>
  </si>
  <si>
    <t>FARMACIA DOSIS UNITARIA/ CINTA DE CETONEMIA</t>
  </si>
  <si>
    <t>PEDIDO FARMACIA DOSIS UNITARIA/ CINTA DE CETONEMIA COMPRA AGIL DESPACHO EN 5 DIAS CON CARGO DEL PROVEEDOR 1057402-838-COT24 26218366</t>
  </si>
  <si>
    <t>COMERCIAL INTERMEDICA LIMITADA</t>
  </si>
  <si>
    <t>76.205.137-0</t>
  </si>
  <si>
    <t>OBRAS MENORES EN CONSTRUCCION (CONTRATISTAS, ALBANILES, CARPINTEROS)| VENTA AL POR MENOR DE ARTICULOS ORTOPEDICOS| VENTA AL POR MENOR DE ARTICULOS ELECTRODOMESTICOS Y ELECTRONICOS PARA| VENTA AL POR MENOR DE MUEBLES INCLUYE COLCHONES| VENTA AL POR MENOR</t>
  </si>
  <si>
    <t>CINTA (TIRA) DE CETONEMIA A_BGM09 FREESTYLE OPTIUM NEOKETONES</t>
  </si>
  <si>
    <t>Tira</t>
  </si>
  <si>
    <t>1057402-838-COT24</t>
  </si>
  <si>
    <t>EL HOSPITAL CLÍNICO DE MAGALLANES REQUIERE CINTA DE CETONEMIA A_BGM09 FREESTYLE OPTIUM NEO KETONES.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</si>
  <si>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Tiras reactivas de cuerpos cetónicos FreeStyle Optium despacho en 5 dias, flete incluido contacto Antonio ramos 950002600 intermedicalimitada@gmail.com lorena contre-ras 950003040 (wasap) oficina : 413837470 -73-74-75 despacho Nelson Simancas 98853 5495</t>
  </si>
  <si>
    <t>1058012-1434-AG24</t>
  </si>
  <si>
    <t>COMPRA ALTERNATIVA FARMACIA AMBULATORIA JUNIO / LEVOCETIRIZINA 2,5 MG 5 ML</t>
  </si>
  <si>
    <t>COMPRA ALTERNATIVA POR FALTA DE STOCK EN PROVEEDOR DE OC N° 1058012-1287-SE24. FLETE CARGO DEL PROVEEDOR. ZGEN 100006094. REF 1058012-404-COT24.</t>
  </si>
  <si>
    <t>LABORATORIO HOSPIFARMA CHILE LIMITADA</t>
  </si>
  <si>
    <t>76.133.312-7</t>
  </si>
  <si>
    <t>LEVOCETIRIZINA 2,5 MG 5 ML</t>
  </si>
  <si>
    <t>1058012-404-COT24</t>
  </si>
  <si>
    <t>EL HOSPITAL CLÍNICO DE MAGALLANES REQUIERE LEVOCETIRIZINA 2,5 MG 5 ML. INDICAR AL COTIZAR: VALOR UNITARIO TOTAL, PRESENTACIÓN (ML),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</si>
  <si>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HOF0136 LEVOCETIRIZINA DICLORHIDRATO JBE 2,5mg/5mL. FCO X 100 mL. REG. ISP F-25359/20. FAB: LABORATORIOS PORTUGAL S.R.L, PERÚ. VENC: 01-10-2025. STOCK INMEDIATO. DESP: 2 DÍAS HÁB. SIN COSTO. MONTO MÍN. FACT. 100.000 NETOS. SERVICIO POSTVENTA</t>
  </si>
  <si>
    <t>1058012-6903-AG25</t>
  </si>
  <si>
    <t>URGENTE FARMACIA AMBULATORIA ABRIL / SUPLEMENTO MULTIVITAMINICO C VIT A,D,E,K CM</t>
  </si>
  <si>
    <t>PEDIDO URGENTE FARMACIA AMBULATORIA ABRIL. ADQUISICIÓN VÍA COMPRA ÁGIL. DESPACHO 3 DÍAS CARGO DEL PROVEEDOR SEGÚN COTIZACIÓN. REF 1058012-257-COT25.</t>
  </si>
  <si>
    <t>ECOCARE SPA</t>
  </si>
  <si>
    <t>76.709.214-8</t>
  </si>
  <si>
    <t>Importación y exportación insumos médicos y farmaceúticos</t>
  </si>
  <si>
    <t>SUPLEMENTO MULTIVITAMINICO C VIT A,D,E,K CM (FIBROSIS QUISTICA)</t>
  </si>
  <si>
    <t>1058012-257-COT25</t>
  </si>
  <si>
    <t>EL HOSPITAL CLÍNICO DE MAGALLANES REQUIERE SUPLEMENTO MULTIVITAMINICO C VIT A,D,E,K CM (FIBROSIS QUISTICA).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SOLICITADA.</t>
  </si>
  <si>
    <t>Lo cotizado corresponde a Dekas Plus Softgel frasco 60 cápsulas blandas, valor $108.780 más IVA cada frasco, lote disponible con vencimiento 01/2027. R.E. 1482 15/04/2019. Por compras 5 o más frascos no se agrega cargo por flete. Stock acotado.</t>
  </si>
  <si>
    <t>1058012-1124-AG24</t>
  </si>
  <si>
    <t>COMPRA ALTERNATIVA FALTA CENABAST ABRIL / VERAPAMILO 5 MG 2 ML AMP</t>
  </si>
  <si>
    <t>COMPRA ALTERNATIVA POR FALTA DE STOCK EN PROVEEDOR OC N° 1058012-838-SE24. FLETE CARGO DEL PROVEEDOR. ZGEN 100001564. REF 1058012-348-COT24.</t>
  </si>
  <si>
    <t>VERAPAMILO 5 MG 2 ML AMP</t>
  </si>
  <si>
    <t>1058012-348-COT24</t>
  </si>
  <si>
    <t>EL HOSPITAL CLÍNICO DE MAGALLANES REQUIERE VERAPAMILO 5 MG 2 ML AMP. INDICAR AL COTIZAR: VALOR UNITARIO TOTAL, PRESENTACIÓN (AMP),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</si>
  <si>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FACTURACION MINIMA $50.000+IVA PARA SANTIAGO Y $75.000+IVA PARA REGIONES,DESPACHO:STGO 24-48 HR Y REGIONES 48-72 HR, FLETE ADICIONALSOLO SUEROS X VOLUMEN,UNIDAD MIN. COTIZADA, SE AJUSTARÁ A FACTOR DE EMPAQUE,REG.ISP,FACT.ELECTRONICA.</t>
  </si>
  <si>
    <t>1058012-611-AG24</t>
  </si>
  <si>
    <t>COMPRA ALTERNATIVA FALTA CENABAST FEBRERO / DOMPERIDONA FCO 10 MG ML</t>
  </si>
  <si>
    <t>COMPRA ALTERNATIVA POR FALTA DE STOCK EN PROVEEDOR N° ORDEN 1058012-408-SE24. ADQUISICIÓN VÍA COMPRA ÁGIL. FLETE CARGO DEL PROVEEDOR. REF 1058012-189-COT24. ZGEN 100000521.</t>
  </si>
  <si>
    <t>DOMPERIDONA FCO 10 MG ML</t>
  </si>
  <si>
    <t>1058012-189-COT24</t>
  </si>
  <si>
    <t>EL HOSPITAL CLÍNICO DE MAGALLANES REQUIERE DOMPERIDONA FCO 10 MG ML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</si>
  <si>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253807 DOMPERIDONA DOCIVIN 10 MG/ML SUSP ORAL GOTAS 15 ML LAB MINTLAB 31-08-2025 DROGUERÍA GLOBAL PHARMA SPA POSEE TRANSPORTE FDEX/TNT/STARKEN ENTREGA EN 12 DÍAS HÁBILES, MÍNIMO DE COMPRA DE $30.000 MÁS IVA. INFO AESCOBEDO@GLOBAL-PHARMA.CL</t>
  </si>
  <si>
    <t>1058012-6780-AG25</t>
  </si>
  <si>
    <t>PARTICULAR FARMACIA ABRIL / TENOFOVIR/LAMIVUDINA/DOLUTEGRAVIR 300/300/50 MG CM</t>
  </si>
  <si>
    <t>PARTICULAR FARMACIA ABRIL. ADQUISICIÓN VÍA COMPRA ÁGIL. DESPACHO 3 DÍAS CARGO DEL PROVEEDOR SEGÚN COTIZACIÓN. ZGEN 100005050. REF 1058012-219-COT25.</t>
  </si>
  <si>
    <t>MEGALABS CHILE S.A</t>
  </si>
  <si>
    <t>94.544.000-7</t>
  </si>
  <si>
    <t>FABRICACION DE PRODUCTOS FARMACEUTICOS, SUSTANCIAS QUIMICAS MEDICINALE| VENTA AL POR MAYOR DE PRODUCTOS FARMACEUTICOS Y MEDICINALES| VENTA AL POR MAYOR DE OTROS TIPOS DE MAQUINARIA Y EQUIPO N.C.P.</t>
  </si>
  <si>
    <t>1058012-219-COT25</t>
  </si>
  <si>
    <t>EL HOSPITAL CLÍNICO DE MAGALLANES REQUIERE TENOFOVIR/LAMIVUDINA/DOLUTEGRAVIR 300/300/50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</si>
  <si>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001-070-00450 VIROPIL 52,62 / 300 / 300 MG X 30 COMPRIMIDOS RECUBIERTOS	VIH	DOLUTEGRAVIR / LAMIVUDINA / TENOFOVIR 30 COMPRIMIDOS RECUBIERTOS F-26217/21 VENCE: 31/08/2025 MONTO MINIMO DE FACTURACION $ 100.000 PRODUCTO CONS TOCK DISPONIBLE</t>
  </si>
  <si>
    <t>1058012-6768-AG25</t>
  </si>
  <si>
    <t>FALTA CENABAST ABRIL/ TENOFOVIR/LAMIVUDINA/DOLUTEGRAVIR300/300/50 MG CM</t>
  </si>
  <si>
    <t>PEDIDO FALTA CENABAST ABRIL. COMPRA AGIL DESPACHO AEREO CARGO DEL PROVEEDOR. 100005050 1058012-202-COT25</t>
  </si>
  <si>
    <t>1058012-202-COT25</t>
  </si>
  <si>
    <t>EL HOSPITAL CLÍNICO DE MAGALLANES REQUIERE TENOFOVIR/LAMIVUDINA/DOLUTEGRAV. INDICAR AL COTIZAR: FECHA DE ENTREGA EN BODEGA DEL HCM, PRESENTACIÓN (ML), FECHA VCTO, ADJUNTAR FICHA TÉCNICA Y/O REGISTRO ISP, TIPO DE TRASLADO. POSTULAR SOLO SI CUENTA CON STOCK PARA DESPACHO INMEDIATO. COMPRA SUJETA A MULTA POR NO RESPETAR FECHA ESTIMADA DE ENTREGA DE LA OC. SE DESESTIMARÁ OFERTA QUE INDIQUE VALOR REFERENCIAL $0 o $1, O NO CUMPLAN CON LO SOLICITADO. MOTIVO IPORTANTE PARA DEJAR FUERA UNA OFERTA ES S</t>
  </si>
  <si>
    <t>ACRIPTEGA: TENOFOVIR/LAMIVUDINA/DOLUTEGRAVIR 300/300/50 MG CM - Envase x 30 CMP Stock disponible - vencimiento mayo 2026 Despacho incluído - 3 días hábiles despues de recibida la OC</t>
  </si>
  <si>
    <t>1058012-1949-AG24</t>
  </si>
  <si>
    <t>PEDIDO FARMACIA DOSIS UNITARIA/CLONIDINA CLORHIDRATO 100 MCG CM</t>
  </si>
  <si>
    <t>PEDIDO FARMACIA DOSIS UNITARIA. COMPRA AGIL DESPACHO CARGO DEL PROVEEDOR. 1058012-525-COT24 100000394</t>
  </si>
  <si>
    <t>EUROLABS CHILE SPA</t>
  </si>
  <si>
    <t>77.528.837-K</t>
  </si>
  <si>
    <t>CLONIDINA CLORHIDRATO 100 MCG CM</t>
  </si>
  <si>
    <t>1058012-525-COT24</t>
  </si>
  <si>
    <t>EL HOSPITAL CLÍNICO DE MAGALLANES REQUIERE CLONIDINA CLORHIDRATO 100 MCG CM.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</si>
  <si>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Clonidina laboratorio TEVA USA caja por 100 tabletas vencimiento Junio 2026( articulo 21)</t>
  </si>
  <si>
    <t>1058012-1781-AG24</t>
  </si>
  <si>
    <t>(FAR) COMPRA ALTERNATIVA FARMACIA AMBULATORIA JULIO / ÁCIDO TRANEXAMICO 500 MG CM</t>
  </si>
  <si>
    <t>COMPRA ALTERNATIVA POR FALTA DE STOCK EN PROVEEDOR OC N° 1058012-1575-SE24. ADQUISICIÓN VÍA COMPRA ÁGIL. FLETE 3 DÍAS SEGÚN COTIZACIÓN. ZGEN 100000028. REF 1058012-489-COT24</t>
  </si>
  <si>
    <t>ÁCIDO TRANEXAMICO 500 MG CM</t>
  </si>
  <si>
    <t>1058012-489-COT24</t>
  </si>
  <si>
    <t>EL HOSPITAL CLÍNICO DE MAGALLANES REQUIERE ÁCIDO TRANEXAMICO 500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</si>
  <si>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PAUSE-500 COMPRIMIDOS RECUBIERTOS 500 mg (ÁCIDO TRANEXÁMICO), caja x20, Bioequivalente, Registro ISP: F-26519/21. Incluye despacho en Institución. Stock disponible, entrega en 3 días. Datos de contacto en cotización adjunta.</t>
  </si>
  <si>
    <t>1058012-4696-AG25</t>
  </si>
  <si>
    <t>COMPRA ALTERNATIVA STOCK CRÍTICO FARMACIA AMBULATORIA MARZO / VITAMINA B1/B6/B12 AMP</t>
  </si>
  <si>
    <t>COMPRA ALTERNATIVA POR FALTA DE STOCK EN OC N° 1058012-4636-SE25. ADQUISICIÓN VÍA COMPRA ÁGIL. DESPACHO 7 DÍAS SEGÚN COTIZACIÓN. REF 1058012-152-COT25.</t>
  </si>
  <si>
    <t>VITAMINA B1/B6/B12 AMP</t>
  </si>
  <si>
    <t>1058012-152-COT25</t>
  </si>
  <si>
    <t>EL HOSPITAL CLÍNICO DE MAGALLANES REQUIERE VITAMINA B1/B6/B12 AMP. INDICAR AL COTIZAR: VALOR UNITARIO TOTAL, PRESENTACIÓN (AMP),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INFORMACIÓN.</t>
  </si>
  <si>
    <t>1058012-1162-AG24</t>
  </si>
  <si>
    <t>COMPRA ALTERNATIVA URGENTE COMITÉ FARMACIA MAYO / ÁCIDO TRANEXÁMICO 500 MG CM</t>
  </si>
  <si>
    <t>COMPRA ALTERNATIVA POR FALTA DE STOCK EN PROVEDOR OC N° 1058012-1153-SE24. ADQUISICIÓN VÍA COMPRA ÁGIL. COMITÉ FARMACIA N°4 AÑO 2024. FLETE CARGO DEL PROVEEDOR. REF 1058012-360-COT24. ZGEN 100000028.</t>
  </si>
  <si>
    <t>ÁCIDO TRANEXÁMICO 500 MG CM</t>
  </si>
  <si>
    <t>1058012-360-COT24</t>
  </si>
  <si>
    <t>EL HOSPITAL CLÍNICO DE MAGALLANES REQUIERE ÁCIDO TRANEXÁMICO 500 MG CM. INDICAR AL COTIZAR: VALOR UNITARIO TOTAL, PRESENTACIÓN (CM), FECHA VCTO, ADJUNTAR FICHA TÉCNICA Y/O REGISTRO ISP, FACILITAR TIPO DE TRASLADO CARGO HOSPITAL, E INDICAR SI CUENTA CON STOCK PARA DESPACHO INMEDIATO. SE DESESTIMARÁ OFERTA QUE INDIQUE VALOR REFERENCIAL $0 o $1, U OMITAN INFORMACIÓN</t>
  </si>
  <si>
    <t>PAUSE-500 COMPRIMIDOS RECUBIERTOS 500 mg (ÁCIDO TRANEXÁMICO), caja x20, Bioequivalente, Registro ISP: F-26519/21. Vencimiento: 30-04-2025. Stock disponible, entrega en 3 días, datos de contacto en cotizacion adjunta.</t>
  </si>
  <si>
    <t>1057402-4352-AG24</t>
  </si>
  <si>
    <t>(FAR) STOCK CRÍTICO SUEROS Y ALCOHOLES ABRIL / ALCOHOL ETILICO 70° FCO 250 ML</t>
  </si>
  <si>
    <t>PEDIDO STOCK CRÍTICO SUEROS Y ALCOHOLES ABRIL. ADQUISICIÓN VÍA COMPRA ÁGIL. FLETE CARGO DEL PROVEEDOR. REF 1057402-663-COT24. ZGEN 100000087.</t>
  </si>
  <si>
    <t>ALCOHOL ETILICO 70° FCO 250 ML</t>
  </si>
  <si>
    <t>1057402-663-COT24</t>
  </si>
  <si>
    <t>SE REQUIERE PARA EL HOSPITAL CLÍNICO DE MAGALLANES ALCOHOL ETILICO 70° FCO 250 ML. INDICAR: VALOR UNITARIO, PRESENTACIÓN Y EMPAQUE (ML), FECHA VCTO, ADJUNTAR FICHA TÉCNICA Y/O REGISTRO ISP, IMAGEN DEL PRODUCTO, TIEMPO DE ENTREGA (ESPECIFICAR, PARA COORDINAR RETIRO CARGO HOSPITAL DE SER NECESARIO), E INDICAR SI CUENTA CON STOCK PARA DESPACHO INMEDIATO. NO SE CONSIDERARÁN OFERTAS QUE INDIQUEN VALOR REFERENCIAL $0 Ó $1 U OMITAN INFORMACIÓN.</t>
  </si>
  <si>
    <t>2402073 ALCOHOL 70% SOLUCIÓN TÓPICA DifemPharma 250mL, 36 unidades por caja. Vencimiento 24 meses Despacho 10-15 días. Contacto Daniella Riffo driffo@difem.cl 968447779</t>
  </si>
  <si>
    <t>1057402-1213-AG24</t>
  </si>
  <si>
    <t>(FAR) COMITÉ FARMACIA/ CINTA DE CETONEMIA</t>
  </si>
  <si>
    <t>PEDIDO COMITÉ FARMACIA. COMPRA AGIL DESPACHO AÉREO CARGO DEL PROVEEDOR. 1057402-175-COT24</t>
  </si>
  <si>
    <t>ABBOTT LABORATORIES DE CHILE LTDA</t>
  </si>
  <si>
    <t>81.378.300-2</t>
  </si>
  <si>
    <t>1057402-175-COT24</t>
  </si>
  <si>
    <t>A_BGM14 FREESTYLE OPTIUM B-KETONES NEO CAJA X 10 CINTAS, PRECIO OFERTADO X CINTA, PRECIO INCLUYE FLETE. DESPACHO 72 HORAS AEREO. DISPONIBILIDAD INMEDIATA. FECHA VENCIMIENTO MAYOR A 12 MESES.</t>
  </si>
  <si>
    <t>1058012-4628-AG25</t>
  </si>
  <si>
    <t>COMPRA ALTERNATIVA FARMACIA AMBULATORIA FEBRERO / TRAMADOL 100 MG ML GTS</t>
  </si>
  <si>
    <t>COMPRA ALTERNATIVA POR FALTA DE STOCK EN OC N° 1058012-4434-AG25. ADQUISICIÓN VÍA COMPRA ÁGIL. DESPACHO 48 HRS. SEGÚN COTIZACIÓN. ZGEN 100001463. REF 1058012-137-COT25.</t>
  </si>
  <si>
    <t>COMERCIALIZADORA E-COMCHILE SPA</t>
  </si>
  <si>
    <t>77.027.029-4</t>
  </si>
  <si>
    <t>VENTAS Y SERVICIOS</t>
  </si>
  <si>
    <t>TRAMADOL 100 MG / ML SOLUCION ORAL (1 ML = 40 GOTAS)</t>
  </si>
  <si>
    <t>1058012-137-COT25</t>
  </si>
  <si>
    <t>EL HOSPITAL CLÍNICO DE MAGALLANES REQUIERE TRAMADOL 100 MG ML GTS. INDICAR AL COTIZAR: VALOR UNITARIO TOTAL, PRESENTACIÓN (FC), FECHA VCTO, ADJUNTAR FICHA TÉCNICA Y/O REGISTRO ISP, TIPO DE TRASLADO (ESPECIFICAR, PARA ACORDAR RETIRO CARGO HOSPITAL DE SER NECESARIO), E INDICAR SI CUENTA CON STOCK PARA DESPACHO INMEDIATO. SE DECLARARA INADMISIBLE OFERTA QUE INDIQUE VALOR REFERENCIAL $0 o $1, NO ENTREGUEN DOCUMENTACIÓN TÉCNICA U OMITAN INFORMACIÓN.</t>
  </si>
  <si>
    <t>TRAMADOL 100 MG/ML GOTAS FCO. 10 ML VCTO 06-2026 ENVIO INCLUIDO 48 HORAS/ 56989247629 VENTAS@ECOMCH.CL / MINIMO DE FACTURACION 100.000 NETO</t>
  </si>
  <si>
    <t>1058012-6798-AG25</t>
  </si>
  <si>
    <t>COMPRA ALTERNATIVA FALTA CENABAST MARZO / ISOTRETINOINA 20 MG CP</t>
  </si>
  <si>
    <t>COMPRA ALTERNATIVA POR FALTA DE STOCK EN PROVEEDOR OC N° 1058012-6716-AG25. ADQUSICIÓN VÍA COMPRA ÁGIL. DESPACHO 48 A 72 HRS. CARGO DEL PROVEEDOR SEGÚN COTIZACIÓN. REF 1058012-227-COT25.</t>
  </si>
  <si>
    <t>ISOTRETINOINA 20 MG CP</t>
  </si>
  <si>
    <t>1058012-227-COT25</t>
  </si>
  <si>
    <t>EL HOSPITAL CLÍNICO DE MAGALLANES REQUIERE ISOTRETINOINA 20 MG CP. INDICAR AL COTIZAR: VALOR UNITARIO TOTAL, PRESENTACIÓN (CP),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</si>
  <si>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Despacho en 48-72 horas, Oc minima 100.000, despacho sin costo extra, contacto Qafarma.spa@gmail.com	Datos de pago: Rut 78.045.809-7 cuenta corriente n° 96176791 Banco Santander, correo qa.farmavidda@gmail.com</t>
  </si>
  <si>
    <t>1058012-8335-AG25</t>
  </si>
  <si>
    <t>COMPRA ALTERNATIVA CONTROLADOS/ METILFENIDATO 36 MG CM</t>
  </si>
  <si>
    <t>COMPRA ALTERNATIVA POR FALTA DE STOCK EN PROVEEDOR DE N° ÓRDENES 1058012-7240-SE257711 Y 7860 ADQUISICIÓN VÍA COMPRA ÁGIL. TRASLADO CARGO A CONFIRMAR CON EL SR. RODRIGO BARRÍA AL CORREO rodrigo.barria.b@redsalud.gov.cl Ó AL FONO 61 -2293466. ZGEN (100006139) REF 1058012-546-COT25</t>
  </si>
  <si>
    <t>Exeltis Chile SpA</t>
  </si>
  <si>
    <t>76.383.221-K</t>
  </si>
  <si>
    <t>Farmaceutico</t>
  </si>
  <si>
    <t>METILFENIDATO 36 MG CM LP</t>
  </si>
  <si>
    <t>1058012-546-COT25</t>
  </si>
  <si>
    <t>EL HCM REQUIERE METILFENIDATO 36 MG CM LP.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</t>
  </si>
  <si>
    <t>236795 OSMETIL 36 - METILFENIDATO 36 MG. CADA FRASCO CONTIENE 30 COMPRIMIDOS DE LIBERACION OSMOTICA PROLONGADAVENC 30-04-2027 MINMO FACT Y DESP $ 150.000 NETOENTREGA 3 DIAS HAB.</t>
  </si>
  <si>
    <t>1058012-4756-AG25</t>
  </si>
  <si>
    <t>COMPRA ALTERNATIVA FARMACIA AMBULATORIA MARZO / TRAMADOL 100 MG ML GTS</t>
  </si>
  <si>
    <t>COMPRA ALTERNATIVA POR FALTA DE STOCK EN OC N° 1058012-4675-SE25. ADQUISICIÓN VÍA COMPRA ÁGIL. DESPACHO 24 A 48 HRS. SEGÚN COTIZACIÓN. ZGEN 100001463. REF 1058012-157-COT25.</t>
  </si>
  <si>
    <t>TRAMADOL 100 MG ML GTS (1 ML = 40 GOTAS)</t>
  </si>
  <si>
    <t>1058012-157-COT25</t>
  </si>
  <si>
    <t>EL HOSPITAL CLÍNICO DE MAGALLANES REQUIERE TRAMADOL 100 MG ML GTS. INDICAR AL COTIZAR: VALOR UNITARIO TOTAL, PRESENTACIÓN (ML), FECHA VCTO, ADJUNTAR FICHA TÉCNICA Y/O REGISTRO ISP, TIPO DE TRASLADO CARGO PROVEEDOR (ESPECIFICAR, PARA ACORDAR RETIRO CARGO HOSPITAL DE SER NECESARIO), E INDICAR SI CUENTA CON STOCK PARA DESPACHO INMEDIATO. SE DECLARARÁ INADMISIBLE OFERTA QUE INDIQUE VALOR REFERENCIAL $0 o $1, U OMITAN INFORMACIÓN Y DOCUMENTOS SOLICITADOS.</t>
  </si>
  <si>
    <t>TRAMADOL GTS.100MG/ML.10M, COSTO FLETE INCLUIDO, DESPACHO DE 24 A 48 HORAS, UNA VEZ ACEPTADA LA ORDEN DE COMPRA, SIN MÍNIMO DE FACTURACIÓN, VENCE SUPERIOR A 12 MESES (PV) pvalencia@adnfarmaceutica.cl</t>
  </si>
  <si>
    <t>1058012-8336-AG25</t>
  </si>
  <si>
    <t>COMPRA ALTERNATIVA CONTROLADOS JULIO - AGOSTO / METILFENIDATO 27 MG CM LP</t>
  </si>
  <si>
    <t>COMPRA ALTERNATIVA POR FALTA DE STOCK EN PROVEEDOR DE N° ORDEN 1058012-7709-SE25 7859-SE25. ADQUISICIÓN VÍA COMPRA ÁGIL. TRASLADO CARGO A CONFIRMAR CON EL SR. RODRIGO BARRÍA AL CORREO rodrigo.barria.b@redsalud.gov.cl Ó AL FONO 61 -2293466. ZGEN 100006138 REF 1058012-535-COT25</t>
  </si>
  <si>
    <t>METILFENIDATO 27 MG CM LIBERACIÓN PROLONGADA</t>
  </si>
  <si>
    <t>1058012-535-COT25</t>
  </si>
  <si>
    <t>EL HCM REQUIERE METILFENIDATO 27 MG CM LP.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</si>
  <si>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236794 OSMETIL 27 - METILFENIDATO 27 MG. CADA FRASCO CONTIENE 30 COMPRIMIDOS DE LIBERACION OSMOTICA PROLONGADA VENC 31-MAR.-2027 ENTREGA 6 DIAS HAB MINIMO FACT Y DESP $ 150.000 NETO</t>
  </si>
  <si>
    <t>1058012-6964-AG25</t>
  </si>
  <si>
    <t>FALTA CENABAST ABRIL/ ISOTRETINOINA 20 MG CAP</t>
  </si>
  <si>
    <t>PEDIDO FALTA CENABAST ABRIL. COMPRA AGIL DESPACHO CARGO DEL PROVEEDOR. 1058012-212-COT25</t>
  </si>
  <si>
    <t>ISOTRETINOINA 20 MG CAP</t>
  </si>
  <si>
    <t>1058012-212-COT25</t>
  </si>
  <si>
    <t>EL HOSPITAL CLÍNICO DE MAGALLANES REQUIERE ISOTRETINOINA 20 MG CAP. INDICAR AL COTIZAR: FECHA DE ENTREGA EN BODEGA DEL HCM, PRESENTACIÓN (ML), FECHA VCTO, ADJUNTAR FICHA TÉCNICA Y/O REGISTRO ISP, TIPO DE TRASLADO. POSTULAR SOLO SI CUENTA CON STOCK PARA DESPACHO INMEDIATO. COMPRA SUJETA A MULTA POR NO RESPETAR FECHA ESTIMADA DE ENTREGA DE LA OC. SE DESESTIMARÁ OFERTA QUE INDIQUE VALOR REFERENCIAL $0 o $1, O NO CUMPLAN CON LO SOLICITADO. MOTIVO IPORTANTE PARA DEJAR FUERA UNA OFERTA ES S</t>
  </si>
  <si>
    <t>INFLADER CAP.20MG.CX30*ENTREGA DE 24 A 48 HRS, VENCE MAS DE 12 MESES, DESPACHO C/FACTURA INCLUIDO EN EL PRECIO, SIN MINIMO DE COMPRA,CON POLITICA DE CANJE, OFERENTE Ximena Silva/9-57438894/xsilva@adnfarmaceutica.cl</t>
  </si>
  <si>
    <t>1058012-1777-AG24</t>
  </si>
  <si>
    <t>(FAR) FARMACIA DOSIS UNITARIA JULIO / GLUCOSA 50% 20 ML SOL INY AMP</t>
  </si>
  <si>
    <t>PEDIDO FARMACIA DOSIS UNITARIA JULIO. ADQUISICIÓN VÍA COMPRA ÁGIL. FLETE 30 A 45 DÍAS SEGÚN COTIZACIÓN. REF 1058012-496-COT24.</t>
  </si>
  <si>
    <t>FARMACIAS Y DROGUERÍAS DE CHILE SPA</t>
  </si>
  <si>
    <t>76.032.335-7</t>
  </si>
  <si>
    <t>VENTA AL POR MAYOR DE OTROS PRODUCTOS N.C.P.| VENTA AL POR MENOR DE PRODUCTOS MEDICINALES</t>
  </si>
  <si>
    <t>GLUCOSA 50% 20 ML SOLUCIÓN INYECTABLE AMP</t>
  </si>
  <si>
    <t>1058012-496-COT24</t>
  </si>
  <si>
    <t>EL HOSPITAL CLÍNICO DE MAGALLANES REQUIERE GLUCOSA 50% 20 ML SOL INY AMP. INDICAR AL COTIZAR: VALOR UNITARIO TOTAL, PRESENTACIÓN (ML),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</si>
  <si>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Glucosa Solución Inyectable 50% - 100 ampolla Plástico - 20ml - Halex Istar- Vencimiento mayor a 12 meses- Importación por art 99 del producto. Fecha estimada de entrega segunda semana de Agosto de 2024.</t>
  </si>
  <si>
    <t>1058012-4755-AG25</t>
  </si>
  <si>
    <t>FARMACIA AMBULATORIA MARZO / FLECAINIDA 100 MG CM</t>
  </si>
  <si>
    <t>PEDIDO FARMACIA AMBULATORIA MARZO. ADQUISICIÓN VÍA COMPRA ÁGIL. DESPACHO 7 DÍAS SEGÚN COTIZACIÓN. ZGEN 100005331. REF 1058012-154-COT25.</t>
  </si>
  <si>
    <t>FLECAINIDA 100 MG CM</t>
  </si>
  <si>
    <t>1058012-154-COT25</t>
  </si>
  <si>
    <t>EL HOSPITAL CLÍNICO DE MAGALLANES REQUIERE FLECAINIDA 100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INFORMACIÓN.</t>
  </si>
  <si>
    <t>1058012-1774-AG24</t>
  </si>
  <si>
    <t>(FAR) COMPRA ALTERNATIVA CONTROLADOS JULIO / METILFENIDATO 36 MG CM LP</t>
  </si>
  <si>
    <t>COMPRA ALTERNATIVA POR FALTA DE STOCK EN PROVEEDOR OC N° 1058012-1536-SE24. ADQUISICIÓN VÍA COMPRA ÁGIL. FLETE 3 DÍAS HÁBILES SEGÚN COTIZACIÓN. ZGEN 100006139. REF 1058012-443-COT24.</t>
  </si>
  <si>
    <t>METILFENIDATO 36 MG CM</t>
  </si>
  <si>
    <t>1058012-443-COT24</t>
  </si>
  <si>
    <t>EL HOSPITAL CLÍNICO DE MAGALLANES REQUIERE METILFENIDATO 36 MG CM.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</si>
  <si>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236795 OSMETIL 36 mg Metilfenidato 36 mg Cada frasco contiene 30 comprimidos recubiertos de liberaci?n osm?tica prolongada. Entrega 3 d?as h?biles. Monto m?nimo de despacho y facturaci?n $100.000 Neto (Vence 31-jul.-2025</t>
  </si>
  <si>
    <t>1058012-101-AG25</t>
  </si>
  <si>
    <t>FARMACIA AMBULATORIA ENERO / EPLERENONA 50 MG CM</t>
  </si>
  <si>
    <t>PEDIDO FARMACIA AMBULATORIA ENERO. ADQUISICIÓN VÍA COMPRA ÁGIL. FLETE 7 DÍAS CARGO DEL PROVEEDOR. ZGEN 100005944. REF 1058012-7-COT25.</t>
  </si>
  <si>
    <t>EPLERENONA 50 MG CM</t>
  </si>
  <si>
    <t>1058012-7-COT25</t>
  </si>
  <si>
    <t>EL HOSPITAL CLÍNICO DE MAGALLANES REQUIERE EPLERENONA 50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</si>
  <si>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1058012-1775-AG24</t>
  </si>
  <si>
    <t>(FAR) COMPRA ALTERNATIVA CONTROLADOS JULIO / METILFENIDATO 27 MG CM LP</t>
  </si>
  <si>
    <t>COMPRA ALTERNATIVA POR FALTA DE STOCK EN PROVEEDOR OC N° 1058012-1535-SE24. ADQUISICIÓN VÍA COMPRA ÁGIL. FLETE 3 DÍAS HÁBILE SSEGÚN COTIZACIÓN. ZGEN 100006138. REF 1058012-444-COT24.</t>
  </si>
  <si>
    <t>METILFENIDATO 27 MG CM</t>
  </si>
  <si>
    <t>1058012-444-COT24</t>
  </si>
  <si>
    <t>EL HOSPITAL CLÍNICO DE MAGALLANES REQUIERE METILFENIDATO 27 MG CM.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</si>
  <si>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236794	OSMETIL 27 mg Metilfenidato 27 mg Cada frasco contiene 30 comprimidos recubiertos de liberaci?n osm?tica prolongada. Entrega 3 d?as h?biles. Monto m?nimo de despacho yfacturaci?n $100.000 Neto. (vence 30-nov.-2025</t>
  </si>
  <si>
    <t>1058012-6756-AG25</t>
  </si>
  <si>
    <t>PARTICULAR FARMACIA ABRIL / ESPIRONOLACTONA 100 MG CM</t>
  </si>
  <si>
    <t>PEDIDO PARTICULAR FARMACIA ABRIL. ADQUISICIÓN VÍA COMPRA ÁGIL. DESPACHO 13 A 20 DÍAS POSTERIOR A LA APROBACIÓN DE LOS DOCUMENTOS, CARGO DEL PROVEEDOR SEGÚN COTIZACIÓN. TRATAMIENTO PACIENTE P.D.A. DIAGNOSTICO SINDROME DE BARTTER Y SEGÚN RECETA INSTITUCIONAL N° 548090. REF 1058012-184-COT25</t>
  </si>
  <si>
    <t>COMERCIALIZADORA DE ALIMENTOS ESPECIALIZADOS, MEDICAMENTOS Y DISPOSITI</t>
  </si>
  <si>
    <t>77.145.531-K</t>
  </si>
  <si>
    <t>ESPIRONOLACTONA 100 MG CM</t>
  </si>
  <si>
    <t>1058012-184-COT25</t>
  </si>
  <si>
    <t>EL HOSPITAL CLÍNICO DE MAGALLANES REQUIEREESPIRONOLACTONA 100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</si>
  <si>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Spironolactone 100mg (Espironolactona) frasco de 100 tabletas, plazo de entrega 13 a 20 días hábiles, una vez aprobados los documentos. Servicio importación medicamentos para uso personal, Art. N°24 del DTO, N°3 del MINSAL. ver documentos adjuntos.</t>
  </si>
  <si>
    <t>1058012-1539-AG24</t>
  </si>
  <si>
    <t>COMPRA ALTERNATIVA STOCK CRÍTICO FARMACIA AMBULATORIA JUNIO / CINACALCET 60 MG CM</t>
  </si>
  <si>
    <t>COMPRA ALTERNATIVA POR FALTA DE STOCK EN PROVEEDOR N° 1058012-1454-SE24. ADQUISICIÓN VÍA COMPRA ÁGIL. FLETE 3 DÍAS SEGÚN COTIZACIÓN. ZGEN 100003459. REF 1058012-436-COT24.</t>
  </si>
  <si>
    <t>CINACALCET 60 MG CM</t>
  </si>
  <si>
    <t>1058012-436-COT24</t>
  </si>
  <si>
    <t>EL HOSPITAL CLÍNICO DE MAGALLANES REQUIERECINACALCET 60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</si>
  <si>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CINACALCET COMPRIMIDOS RECUBIERTOS 60 mg, Caja X 28 CM, Bioequivalente, Registro ISP F-27631, vencimiento 28-02-2027 Stock disponible, entrega en 3 días, despacho incluido. Datos de contacto en cotización adjunta.</t>
  </si>
  <si>
    <t>1058012-2767-AG24</t>
  </si>
  <si>
    <t>COMPRA ALTERNATIVA FALTA CENABAST OCTUBRE / CINACALCET 60 MG CM</t>
  </si>
  <si>
    <t>COMPRA ALTERNATIVA POR FALTA DE STOCK EN PROVEEDOR OC N° 1058012-2476-SE24. ADQUISICIÓN VÍA COMPRA ÁGIL. FLETE 3 DÍAS SEGÚN COTIZACIÓN. ZGEN 100003459. REF 1058012-640-COT24.</t>
  </si>
  <si>
    <t>1058012-640-COT24</t>
  </si>
  <si>
    <t>EL HOSPITAL CLÍNICO DE MAGALLANES REQUIERE CINACALCET 60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</si>
  <si>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CINACALCET COMPRIMIDOS RECUBIERTOS 60 mg, Caja X 28 CM, Bioequivalente, Registro ISP F-27631, vencimiento 28-02-2027 Stock disponible, entrega en 3 días. Datos de contacto en cotización adjunta.</t>
  </si>
  <si>
    <t>1058012-4595-AG25</t>
  </si>
  <si>
    <t>COMPRA ALTERNATIVA FARMACIA AMBULATORIA FEBRERO / SOLIFENACINA SUCCINATO 5 MG CM</t>
  </si>
  <si>
    <t>COMPRA ALTERNATIVA POR FALTA DE STOCK EN OC N° 1058012-4364-SE25. ADQUISICIÓN VÍA COMPRA ÁGIL. DESPACHO 7 DÍAS SEGÚN COTIZACIÓN. ZGEN 100006304. REF 1058012-127-COT25.</t>
  </si>
  <si>
    <t>SOLIFENACINA SUCCINATO 5 MG CM</t>
  </si>
  <si>
    <t>1058012-127-COT25</t>
  </si>
  <si>
    <t>EL HOSPITAL CLÍNICO DE MAGALLANES REQUIERE SOLIFENACINA SUCCINATO 5 MG CM. INDICAR AL COTIZAR: VALOR UNITARIO TOTAL, PRESENTACIÓN (CM), FECHA VCTO, ADJUNTAR FICHA TÉCNICA Y/O REGISTRO ISP, TIPO DE TRASLADO (ESPECIFICAR, PARA ACORDAR RETIRO CARGO HOSPITAL DE SER NECESARIO), E INDICAR SI CUENTA CON STOCK PARA DESPACHO INMEDIATO. SE DECLARARA INADMISIBLE OFERTA QUE INDIQUE VALOR REFERENCIAL $0 o $1, NO ENTREGUEN DOCUMENTACIÓN TÉCNICA U OMITAN INFORMACIÓN.</t>
  </si>
  <si>
    <t>1058012-1776-AG24</t>
  </si>
  <si>
    <t>(FAR) COMPRA ALTERNATIVA CONTROLADOS JULIO / METILFENIDATO 18 MG CM LP</t>
  </si>
  <si>
    <t>COMPRA ALTERNATIVA POR FALTA DE STOCK EN PROVEEDOR OC N° 1058012-1534-SE24. ADQUISICIÓN VÍA COMPRA ÁGIL. FLETE 3 DÍAS HÁBILES SEGÚN COTIZACIÓN. ZGEN 100006137. REF 1058012-445-COT24.</t>
  </si>
  <si>
    <t>METILFENIDATO 18 MG CM LP</t>
  </si>
  <si>
    <t>1058012-445-COT24</t>
  </si>
  <si>
    <t>EL HOSPITAL CLÍNICO DE MAGALLANES REQUIERE METILFENIDATO 18 MG CM. INDICAR AL COTIZAR: VALOR UNITARIO TOTAL, PRESENTACIÓN (ML), FECHA VCTO, ADJUNTAR FICHA TÉCNICA Y/O REGISTRO ISP, TIPO DE TRASLADO y ESPECIFICAR FECHA DE ENTREGA, INDICAR SI CUENTA CON STOCK PARA DESPACHO INMEDIATO. SE DESESTIMARÁ OFERTA QUE INDIQUE VALOR REFERENCIAL $0 o $1, U OMITAN INFORMACIÓN.</t>
  </si>
  <si>
    <t>236793	OSMETIL 18 mg Metilfenidato 18 mg. Cada frasco contiene 30 comprimidos recubiertos de liberaci?n osm?tica prolongada. Entrega 3 d?as h?biles. Monto m?nimo de despacho y facturaci?n $100.000 Neto (vence 31-jul.-2025</t>
  </si>
  <si>
    <t>1058012-6754-AG25</t>
  </si>
  <si>
    <t>PARTICULAR FARMACIA ABRIL / AMILORIDA 5 MG CM</t>
  </si>
  <si>
    <t>PEDIDO PARTICULAR FARMACIA ABRIL. ADQUISICIÓN VÍA COMPRA ÁGIL. DESPACHO 13 A 20 DÍAS POSTERIOR A LA APROBACIÓN DE LOS DOCUMENTOS, CARGO DEL PROVEEDOR SEGÚN COTIZACIÓN. TRATAMIENTO PCTE P.D.A. DIAGNOSTICO SINDROME DE BARTTER Y SEGÚN RECETA INSTITUCIONAL N° 548086 REF 1058012-183-COT25.</t>
  </si>
  <si>
    <t>AMILORIDA 5 MG CM</t>
  </si>
  <si>
    <t>1058012-183-COT25</t>
  </si>
  <si>
    <t>EL HOSPITAL CLÍNICO DE MAGALLANES REQUIERE AMILORIDA 5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</si>
  <si>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Amiloride 5mg (Amilorida) frasco de 100 tabletas, plazo de entrega 13 a 20 días hábiles, una vez aprobados los documentos. Servicio importación medicamentos para uso personal, Art. N°24 del DTO, N°3 del MINSAL. ver documentos adjuntos.</t>
  </si>
  <si>
    <t>1058012-7267-AG25</t>
  </si>
  <si>
    <t>FALTA CENABAST MAYO/ GLUCOSA 5% MTZ ENVASE SEMIRIGIDO 250 ML.</t>
  </si>
  <si>
    <t>PEDIDO FALTA CENABAST. ONCOLOGÍA. COMPRA AGIL. DESPACHO AEREO A CARGO DEL PROVEEDOR. 1058012-321-COT25</t>
  </si>
  <si>
    <t>GLUCOSA 5% MTZ ENVASE SEMIRIGIDO 250 ML</t>
  </si>
  <si>
    <t>1058012-321-COT25</t>
  </si>
  <si>
    <t>EL HCM REQUIERE GLUCOSA 5% MTZ ENVASE SEMIRIGIDO 250 ML.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</si>
  <si>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Cotización_0020178950 despacho en cajas cerradas, según factor de empaque indicado en cotización. Despacho mínimo $200.000.-</t>
  </si>
  <si>
    <t>1058012-424-AG24</t>
  </si>
  <si>
    <t>FALTA CENABAST FEBRERO / PETIDINA 100 MG 2 ML</t>
  </si>
  <si>
    <t>FALTA DISTRIBUCIÓN CENABAST FEBRERO. ADQUISICIÓN VÍA COMPRA ÁGIL. FLETE CARGO DEL PROVEEDOR. REF 1058012-147-COT24.</t>
  </si>
  <si>
    <t>PETIDINA 100 MG 2 ML SOL INY</t>
  </si>
  <si>
    <t>1058012-147-COT24</t>
  </si>
  <si>
    <t>EL HOSPITAL CLÍNICO DE MAGALLANES REQUIERE PETIDINA 100 MG 2 ML SOL INY. INDICAR AL COTIZAR: VALOR UNITARIO TOTAL, PRESENTACIÓN (UD),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</si>
  <si>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COTIZACION N° 20162067 Despacho en cajas cerradas, según factor de empaque. | precio considera traslado</t>
  </si>
  <si>
    <t>1058012-7472-AG25</t>
  </si>
  <si>
    <t>FARMACIA AMBULATORIA JUNIO / EPLERENONA 50 MG CM</t>
  </si>
  <si>
    <t>PEDIDO FARMACIA AMBULATORIA JUNIO. ADQUISICIÓN VÍA COMPRA ÁGIL. DESPACHO 48 HRS HÁBILES CARGO DEL PROVEEDOR SEGÚN COTIZACIÓN. ZGEN 100005944. REF 1058012-384-COT25.</t>
  </si>
  <si>
    <t>1058012-384-COT25</t>
  </si>
  <si>
    <t>EL HOSPITAL CLÍNICO DE MAGALLANES REQUIERE EPLERENONA 50 MG CM. INDICAR AL COTIZAR: VALOR UNITARIO TOTAL, PRESENTACIÓN (CM), FECHA VCTO, ADJUNTAR FICHA TÉCNICA Y/O REGISTRO ISP, TIPO DE TRASLADO Y FECHA ESPECIFICA DE ENTREGA. DESPACHOS PARCIALIZADOS (ESPECIFICAR, PARA ACORDAR RETIRO CARGO HOSPITAL DE SER NECESARIO), E INDICAR SI CUENTA CON STOCK PARA DESPACHO INMEDIATO. SE DECLARARÁ INADMISIBLE OFERTA QUE INDIQUE VALOR REFERENCIAL $0 o $1, U OMITAN INFORMACIÓN Y DOCUMENTOS SOLICITADOS.</t>
  </si>
  <si>
    <t>INSPRA COMPRIMIDOS RECUBIERTOS 50 mg (EPLERENONA). REG. ISP: F-22736/21. Presentación: Caja x 30 comprimidos. Procedente: PFIZER SERVICE COMPANY BVBA. Vcto: 05.2027 Monto mínimo $100.000+IVA Entrega 48 hrs hábiles</t>
  </si>
  <si>
    <t>1058012-1107-AG24</t>
  </si>
  <si>
    <t>FARMACIA AMBULATORIA MAYO / FENOFIBRATO 200 MG CM</t>
  </si>
  <si>
    <t>PEDIDO FARMACIA AMBULATORIA MAYO. ADQUISICIÓN VÍA COMPRA ÁGIL. FLETE CARGO EL PROVEEDOR. REF 1058012-325-COT24.</t>
  </si>
  <si>
    <t>FENOFIBRATO 200 MG CM</t>
  </si>
  <si>
    <t>1058012-325-COT24</t>
  </si>
  <si>
    <t>EL HOSPITAL CLÍNICO DE MAGALLANES REQUIERE FENOFIBRATO 200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</si>
  <si>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FACTURACION MINIMA $50.000+IVA PARA SANTIAGO Y $75.000+IVA PARA REGIONES, DESPACHO: STGO 24-48 HR Y REGIONES 48-72 HR, FLETE ADICIONALSOLO SUEROS X VOLUMEN, UNIDAD MIN. COTIZADA, SE AJUSTARÁ A FACTOR DE EMPAQUE, REG.ISP, FACT.ELECTRONICA.</t>
  </si>
  <si>
    <t>1058012-338-AG24</t>
  </si>
  <si>
    <t>PEDIDO COMITÉ FARMACIA /CLOBETASOL 0.05 % CREMA</t>
  </si>
  <si>
    <t>PEDIDO COMITÉ FARMACIA. COMPRA AGIL DESPACHO A CONFIRMAR CON EL PROVEEDOR. 1058012-83-COT24</t>
  </si>
  <si>
    <t>MUNNICH PHARMA MEDICAL LIMITADA</t>
  </si>
  <si>
    <t>80.447.400-5</t>
  </si>
  <si>
    <t>VENTA AL POR MAYOR DE PRODUCTOS FARMACEUTICOS| VENTA AL POR MAYOR DE OTROS PRODUCTOS N.C.P.</t>
  </si>
  <si>
    <t>CLOBETASOL 0.05 % CREMA</t>
  </si>
  <si>
    <t>1058012-83-COT24</t>
  </si>
  <si>
    <t>EL HOSPITAL CLÍNICO DE MAGALLANES REQUIERE CLOBETASOL 0.05 % CREMA 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</si>
  <si>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Se adjunta cotizacion formal. Se adjunta Ficha Tecnica para su evaluacion. Monto minimo de facturacion $50.000. Despacho en 24 a 72 hrs, sin costo. Zonas Extremas (Sujeto a Evaluacion con Operador Logistico). Contacto: sujeidys.rugeles@munnich.c</t>
  </si>
  <si>
    <t>1058012-1109-AG24</t>
  </si>
  <si>
    <t>FARMACIA AMBULATORIA MAYO / MAGNESIO LACTATO 835 MG CM LP</t>
  </si>
  <si>
    <t>PEDIDO FARMACIA AMBULATORIA MAYO. ADQUISICIÓN VÍA COMPRA ÁGIL. FLETE CARGO DEL PROVEEDOR. REF 1058012-327-COT24.</t>
  </si>
  <si>
    <t>MAGNESIO LACTATO 835 MG CM LP</t>
  </si>
  <si>
    <t>1058012-327-COT24</t>
  </si>
  <si>
    <t>EL HOSPITAL CLÍNICO DE MAGALLANES REQUIERE MAGNESIO LACTATO 835 MG CM LP.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</si>
  <si>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1058012-1514-AG24</t>
  </si>
  <si>
    <t>COMITÉ FARMACIA JUNIO / SEVELAMER 800 MG CM</t>
  </si>
  <si>
    <t>PEDIDO COMITÉ FARMACIA JUNIO. ADQUISICIÓN VÍA COMPRA ÁGIL. FLETE 48 HORAS DESDE EMISIÓN DE OC SEGÚN COTIZACIÓN. ZGEN 100003443. REF 1058012-426-COT24.</t>
  </si>
  <si>
    <t>SYNTHON CHILE LIMITADA</t>
  </si>
  <si>
    <t>76.032.097-8</t>
  </si>
  <si>
    <t>FABRICACION DE PRODUCTOS FARMACEUTICOS, SUSTANCIAS QUIMICAS MEDICINALE| ARRIENDO DE INMUEBLES AMOBLADOS O CON EQUIPOS Y MAQUINARIAS</t>
  </si>
  <si>
    <t>SEVELAMER 800 MG CM</t>
  </si>
  <si>
    <t>1058012-426-COT24</t>
  </si>
  <si>
    <t>EL HOSPITAL CLÍNICO DE MAGALLANES REQUIERE SEVELAMER 800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</si>
  <si>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PRECIO NETO, NO INCLUYE IVA. MONTO MINIMO DE FACTURACION $100.000 NETO. FLETE INCLUIDO. ENTREGA EN 48 HORAS DESDE EMITIDA LA O/C. Laboratorio Synthon Chile Ltda. Inscrito y habilitado en CHILEPROVEEDORES, Todos nuestros Productos cuentan con registro ISP,</t>
  </si>
  <si>
    <t>1058012-116-AG24</t>
  </si>
  <si>
    <t>COMITÉ FARMACIA N° 10 2023/ PIRFENIDONA 267 MG CP</t>
  </si>
  <si>
    <t>PEDIDO COMITÉ FARMACIA N° 10 2023. ID 1058012-74-LQ23 DESPACHO DE 3 A 5 DIAS HABILES, CARGO DEL PROVEEDOR. 1058012-29-COT24</t>
  </si>
  <si>
    <t>LABORATORIO LKM CHILE SPA</t>
  </si>
  <si>
    <t>76.377.981-5</t>
  </si>
  <si>
    <t>Venta al por menor de productos medicinales</t>
  </si>
  <si>
    <t>PIRFENIDONA 267 MG CP</t>
  </si>
  <si>
    <t>1058012-29-COT24</t>
  </si>
  <si>
    <t>EL HOSPITAL CLÍNICO DE MAGALLANES REQUIERE PIRFENIDONA 267 MG CP.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</si>
  <si>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Estimados se adjunta cotización, contamos con disponibilidad de producto, vencimiento 12 meses, se adjunta ficha técnica, despacho 72hrs, operador logístico Novofarma trabaja con dos transportistas Newtrans y Chibra.</t>
  </si>
  <si>
    <t>1058012-1794-AG24</t>
  </si>
  <si>
    <t>(FAR) FARMACIA AMBULATORIA JULIO / FLECAINIDA ACETATO 100 MG CM</t>
  </si>
  <si>
    <t>PEDIDO FARMACIA AMBULATORIA JULIO. ADQUISICIÓN VÍA COMPRA ÁGIL. FLETE 5 DÍAS SEGÚN COTIZACIÓN. REF 1058012-507-COT24.</t>
  </si>
  <si>
    <t>FLECAINIDA ACETATO 100 MG CM</t>
  </si>
  <si>
    <t>1058012-507-COT24</t>
  </si>
  <si>
    <t>EL HOSPITAL CLÍNICO DE MAGALLANES REQUIERE FLECAINIDA ACETATO 100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</si>
  <si>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001-000-01230	DIONDEL COMPRIMIDOS 100 mg x 50 Comp.	FLECAINIDA	Registro ISP F-18546-21	Proc. LAB. ROEMMERS S.A.-URUGUAY</t>
  </si>
  <si>
    <t>1058012-102-AG25</t>
  </si>
  <si>
    <t>FARMACIA AMBULATORIA ENERO / FLECAINIDA 100 MG CM</t>
  </si>
  <si>
    <t>PEDIDO FARMACIA AMBULATORIA ENERO. ADQUISICIÓN VÍA COMPRA ÁGIL. FLETE 3 DÍAS SEGÚN COTIZACIÓN. ZGEN 100005331. REF 1058012-9-COT25.</t>
  </si>
  <si>
    <t>1058012-9-COT25</t>
  </si>
  <si>
    <t>EL HOSPITAL CLÍNICO DE MAGALLANES REQUIERE FLECAINIDA 100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</si>
  <si>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CADENCE COMPRIMIDOS 100 mg (FLECAINIDA ACETATO), Bioequivalente, caja x50, Registro ISP: F-26177/21. Vencimiento: 31-05-2026. Stock disponible, entrega en 3 días. Datos de contacto en cotización adjunta.</t>
  </si>
  <si>
    <t>1058012-1117-AG24</t>
  </si>
  <si>
    <t>FARMACIA AMBULATORIA MAYO / DEFLAZACORT 6 MG CM</t>
  </si>
  <si>
    <t>PEDIDO FARMACIA AMBULATORIA MAYO. ADQUISICIÓN VÍA COMPRA ÁGIL. FLETE CARGO DEL PROVEEDOR. REF 1058012-323-COT24.</t>
  </si>
  <si>
    <t>DEFLAZACORT 6 MG CM</t>
  </si>
  <si>
    <t>1058012-323-COT24</t>
  </si>
  <si>
    <t>EL HOSPITAL CLÍNICO DE MAGALLANES REQUIERE DEFLAZACORT 6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</si>
  <si>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Se adjunta cotizacion formal. Se adjunta Ficha Tecnica para su evaluacion. Monto minimo de facturacion $50.000. Despacho en 24 a 72 hrs, sin costo. Zonas Extremas ( Sujeto a Evaluacion con Operador Logistico) Contacto: paloma.johnson@munnich.cl</t>
  </si>
  <si>
    <t>1058012-2931-AG24</t>
  </si>
  <si>
    <t>COMPRA ALTERNATIVA FARMACIA AMBULATORIA NOVIEMBRE / PROGESTERONA 100 MG CP</t>
  </si>
  <si>
    <t>COMPRA ALTERNATIVA POR FALTA DE STOCK EN PROVEEDOR OC N° 1058012-2772-AG24. ADQUISICIÓN VÍA COMPRA ÁGIL. FLETE 48 HORAS SEGÚN COTIZACIÓN. ZGEN 100003402. REF 1058012-670-COT24.</t>
  </si>
  <si>
    <t>PROGESTERONA 100 MG CP</t>
  </si>
  <si>
    <t>1058012-670-COT24</t>
  </si>
  <si>
    <t>EL HOSPITAL CLÍNICO DE MAGALLANES REQUIERE PROGESTERONA 100 MG CP. INDICAR AL COTIZAR: VALOR UNITARIO TOTAL, PRESENTACIÓN (CP),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</si>
  <si>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Despacho costo 0, en 48 horas, contacto +56952396412, QA.farmavidda@gmail.com, PISV</t>
  </si>
  <si>
    <t>1058012-7473-AG25</t>
  </si>
  <si>
    <t>FARMACIA AMBULATORIA JUNIO / OLANZAPINA BUCODISPERSABLE 5 MG CM</t>
  </si>
  <si>
    <t>PEDIDO FARMACIA AMBULATORIA JUNIO. ADQUISICIÓN VÍA COMPRA ÁGIL. DESPACHO 3 DÍAS CARGO DEL PROVEEDOR SEGÚN COTIZACIÓN. ZGEN 100004891. REF 1058012-395-COT25.</t>
  </si>
  <si>
    <t>OLANZAPINA BUCODISPERSABLE 5 MG CM</t>
  </si>
  <si>
    <t>1058012-395-COT25</t>
  </si>
  <si>
    <t>EL HOSPITAL CLÍNICO DE MAGALLANES REQUIERE OLANZAPINA 5 MG CM. INDICAR AL COTIZAR: VALOR UNITARIO TOTAL, PRESENTACIÓN (CM),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</si>
  <si>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001-000-80618 OLIVIN DB 5 MG. X 30 COMP (BE)	OLANZAPINA	F-25360/25	LABORATORIOS LESVI S.L.-ESPAÑA	EQUIV TERAPEUTICO VENCE: 30711/2026 MONTO MINIMO DE FACTURACION $ 100.000</t>
  </si>
  <si>
    <t>1058012-7474-AG25</t>
  </si>
  <si>
    <t>FALTA CENABAST FARMACIA AMBULATORIA JUNIO / FLECAINIDA 100 MG CM</t>
  </si>
  <si>
    <t>PEDIDO FALTA CENABAST FARMACIA AMBULATORIA JUNIO. ADQUISICIÓN VÍA COMPRA ÁGIL. DESPACHO 3 DÍAS CARGO DEL PROVEEDOR SEGÚN COTIZACIÓN. ZGEN 100005331. REF 1058012-409-COT25.</t>
  </si>
  <si>
    <t>1058012-409-COT25</t>
  </si>
  <si>
    <t>EL HOSPITAL CLÍNICO DE MAGALLANES REQUIERE FLECAINIDA 100 MG CM. INDICAR AL COTIZAR: VALOR UNITARIO TOTAL, PRESENTACIÓN (CM),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</si>
  <si>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CADENCE COMPRIMIDOS 100 mg (FLECAINIDA ACETATO), Bioequivalente, caja x50, Registro ISP: F-26177/21. Vencimiento: 30-04-2027. Stock disponible, entrega en 3 días - flete incluido. Datos de contacto en cotización adjunta.</t>
  </si>
  <si>
    <t>1058012-62-AG24</t>
  </si>
  <si>
    <t>COMITÉ FARMACIA N° 10 2023/ ALFACETOANALOGOS DE AMINOACIDOS</t>
  </si>
  <si>
    <t>PEDIDO COMITÉ FARMACIA N° 10 2023. COMPRA AGIL. FLETE AEREO CARGO DEL PROVEEDOR. 1058012-17-COT24</t>
  </si>
  <si>
    <t>ALFACETOANALOGOS DE AMINOACIDOS</t>
  </si>
  <si>
    <t>1058012-17-COT24</t>
  </si>
  <si>
    <t>EL HOSPITAL CLÍNICO DE MAGALLANES REQUIERE ALFACETOANALOGOS DE AMINOACIDOS.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</si>
  <si>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COTIZACION N° 20160500 Despacho en cajas cerradas, según factor de empaque.</t>
  </si>
  <si>
    <t>1058012-4371-AG25</t>
  </si>
  <si>
    <t>FARMACIA DOSIS UNITARIA FEBRERO / CLONIDINA 0,1 MG CM</t>
  </si>
  <si>
    <t>PEDIDO FARMACIA DOSIS UNITARIA FEBRERO. ADQUISICIÓN VÍA COMPRA ÁGIL. FLETE 14 A 26 DÍAS SEGÚN COTIZACIÓN. REF 1058012-93-COT25.</t>
  </si>
  <si>
    <t>CLONIDINA 0,1 MG CM</t>
  </si>
  <si>
    <t>1058012-93-COT25</t>
  </si>
  <si>
    <t>EL HOSPITAL CLÍNICO DE MAGALLANES REQUIERE CLONIDINA 0,1 mg cm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</si>
  <si>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Clonidine 0,1mg (Clonidina HCl) frasco de 100 tabletas, plazo de entrega 14 a 26 días hábiles, una vez aprobados los documentos por Almedis. Servicio importación medicamentos para uso personal, según Art. N°24 del DTO, N°3 del MINSAL. ver condiciones adj.</t>
  </si>
  <si>
    <t>1058012-1125-AG24</t>
  </si>
  <si>
    <t>COMPRA ALTERNATIVA FARMACIA AMBULATORIA ABRIL / PROGESTERONA 100 MG CP</t>
  </si>
  <si>
    <t>COMPRA ALTERNATIVA POR FALTA DE STOCK EN PROVEEDOR OC N° 1058012-851-SE24. ADQUISICIÓN VÍA COMPRA ÁGIL. FLETE CARGO DEL PROVEEDOR. ZGEN 100003402. REF 1058012-347-COT24.</t>
  </si>
  <si>
    <t>1058012-347-COT24</t>
  </si>
  <si>
    <t>EL HOSPITAL CLÍNICO DE MAGALLANES REQUIERE PROGESTERONA 100 MG CP. INDICAR AL COTIZAR: VALOR UNITARIO TOTAL, PRESENTACIÓN (CP),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</si>
  <si>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1058012-7931-AG25</t>
  </si>
  <si>
    <t>FARMACIA AMBULATORIA AGOSTO / VITAMINA B1/B6/B12 CM</t>
  </si>
  <si>
    <t>PEDIDO FARMACIA AMBULATORIA AGOSTO. ADQUISICIÓN VÍA COMPRA ÁGIL. DESPACHO 48 HORAS CARGO DEL PROVEEDOR SEGÚN COTIZACIÓN. REF 1058012-495-COT25</t>
  </si>
  <si>
    <t>VITAMINA B1/B6/B12 CM</t>
  </si>
  <si>
    <t>1058012-495-COT25</t>
  </si>
  <si>
    <t>EL HOSPITAL CLÍNICO DE MAGALLANES REQUIERE VITAMINA B1/B6/B12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SOLICITADA.</t>
  </si>
  <si>
    <t>NEUROBIONTA ADV.COMREC. CX60, COSTO FLETE INCLUIDO, DESPACHO DE 24 A 48 HORAS, UNA VEZ ACEPTADA LA ORDEN DE COMPRA, SIN MÍNIMO DE FACTURACIÓN, VENCE SUPERIOR A 12 MESES (PV) pvalencia@adnfarmaceutica.cl (P 24/07)</t>
  </si>
  <si>
    <t>1058012-7547-AG25</t>
  </si>
  <si>
    <t>COMITÉ FARMACIA JUNIO / VITAMINAS COMPLEJO B CON APORTE DE 1000 MCG CIANOCOBALAMINA CP</t>
  </si>
  <si>
    <t>PEDIDO COMITÉ FARMACIA JUNIO. ADQUISICIÓN VÍA COMPRA ÁGIL. DESPACHO 48 HORAS CARGO DEL PROVEEDOR SE GÚN COTIZACIÓN. REF 1058012-440-COT25.</t>
  </si>
  <si>
    <t>VITAMINAS COMPLEJO B CON APORTE DE 1000 MCG CIANOCOBALAMINA CP</t>
  </si>
  <si>
    <t>1058012-440-COT25</t>
  </si>
  <si>
    <t>EL HOSPITAL CLÍNICO DE MAGALLANES REQUIERE VITAMINAS COMPLEJO B 1000 MCG CIANOCOBALAMINA CP. INDICAR AL COTIZAR: VALOR UNITARIO TOTAL, PRESENTACIÓN (CP),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</si>
  <si>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1058012-6757-AG25</t>
  </si>
  <si>
    <t>PARTICULAR FARMACIA ABRIL / POTASIO CLORURO 600 MG CM LIB PR</t>
  </si>
  <si>
    <t>PEDIDO PARTICULAR FARMACIA ABRIL. ADQUISICIÓN VÍA COMPRA ÁGIL. DESPACHO 13 A 20 DÍAS POSTERIOR A LA APROBACIÓN DE LOS DOCUMENTOS, CARGO DEL PROVEEDOR SEGÚN COTIZACIÓN. TRATAMIENTO PACIENTE P.D.A. DIAGNOSTICO SINDROME DE BARTTER Y SEGÚN RECETA INSTITUCIONAL N° 548086. REF 1058012-182-COT25.</t>
  </si>
  <si>
    <t>POTASIO CLORURO 600 MG CM LIBERACIÓN PROLONGADA</t>
  </si>
  <si>
    <t>1058012-182-COT25</t>
  </si>
  <si>
    <t>EL HOSPITAL CLÍNICO DE MAGALLANES REQUIERE POTASIO CLORURO 600 MG CM LIB PR.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</si>
  <si>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Potassium Chloride 600 mg LP (8 Meq) (Cloruro de Potasio) frasco 100 capsulas. Plazo de entrega 15 a 32 días hábiles una vez aprobados los documentos. Servicio importación medicamentos para uso personal, Art. N°24 del DTO, N°3 del MINSAL. ver doc adjuntos</t>
  </si>
  <si>
    <t>1058012-8011-AG25</t>
  </si>
  <si>
    <t>COMPRA ALTERNATIVA FARMACIA AMBULATORIA AGOSTO / ESTRADIOL 17 B 1 MG CM</t>
  </si>
  <si>
    <t>COMPRA ALTERNATIVA POR FALTA DE STOCK EN PROVEEDOR OC N° 1058012-7912-SE25. ADQUISICIÓN VÍA COMPRA ÁGIL. DESPACHO 2 DÍAS CARGO DEL PROVEEDOR SEGÚN COTIZACIÓN. ZGEN 100002528. REF 1058012-517-COT25.</t>
  </si>
  <si>
    <t>ESTRADIOL 17 B 1 MG CM</t>
  </si>
  <si>
    <t>1058012-517-COT25</t>
  </si>
  <si>
    <t>EL HOSPITAL CLÍNICO DE MAGALLANES REQUIERE ESTRADIOL 17 B 1 MG CM. INDICAR AL COTIZAR: VALOR UNITARIO TOTAL, PRESENTACIÓN (CP),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</si>
  <si>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COTIZACIÓN LABORATORIOS RECALCINE, S.A FLETE INCLUIDO. DESPACHO EN 2 DÍAS / 48 HORAS. MONTO MÍNIMO DE FACTURACIÓN: 100.000. SE COTIZAN VALORES NETOS.</t>
  </si>
  <si>
    <t>1058012-8333-AG25</t>
  </si>
  <si>
    <t>COMPRA ALTERNATIVA FARMACIA AMBULATORIA SEPTIEMBRE / ESTRADIOL 17 B 1 MG CM</t>
  </si>
  <si>
    <t>COMPRA ALTERNATIVA POR FALTA DE STOCK EN OC N° 1058012-8271-SE25. ADQUISICIÓN VÍA COMPRA ÁGIL. DESPACHO 2 DÍAS CARGO DEL PROVEEDOR SEGÚN COTIZACIÓN. ZGEN 100002528. REF 1058012-551-COT25.</t>
  </si>
  <si>
    <t>1058012-551-COT25</t>
  </si>
  <si>
    <t>EL HOSPITAL CLÍNICO DE MAGALLANES REQUIERE ESTRADIOL 17 B 1 MG CM. INDICAR AL COTIZAR: VALOR UNITARIO TOTAL, PRESENTACIÓN (CM),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</si>
  <si>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1058012-774-AG24</t>
  </si>
  <si>
    <t>COMPRA ALTERNATIVA FALTA CENABAST MARZO / PARGEVERINA AM 5 MG ML</t>
  </si>
  <si>
    <t>COMPRA ALTERNATIVA POR FALTA DE STOCK EN PROVEEDOR N° ORDEN 1058012-627-AG24. ADQUISICIÓN VÍA COMPRA ÁGIL. FLETE CARGO DEL PROVEEDOR. REF 1058012-234-COT24.</t>
  </si>
  <si>
    <t>LABORATORIO BIOSANO S A</t>
  </si>
  <si>
    <t>88.597.500-3</t>
  </si>
  <si>
    <t>PARGEVERINA AM 5 MG ML</t>
  </si>
  <si>
    <t>1058012-234-COT24</t>
  </si>
  <si>
    <t>EL HOSPITAL CLÍNICO DE MAGALLANES REQUIERE PARGEVERINA AM 5 MG ML. INDICAR AL COTIZAR: VALOR UNITARIO TOTAL, PRESENTACIÓN (ML),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</si>
  <si>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Pargeverina Clorhidrato 5 mg 1 ml, solución inyectable, ampolla, estuche x 5 unid. Registro F-21075 19.Fecha de vencimiento: 30-10-2024, Contacto aparra@biosano.cl + 56 962466116 Monto mínimo para despacho $200.000, tiempo de despacho 10 días hábiles</t>
  </si>
  <si>
    <t>1058012-7459-AG25</t>
  </si>
  <si>
    <t>FARMACIA AMBULATORIA JUNIO / SALES REHIDRATANTES 90 MEQ SODIO</t>
  </si>
  <si>
    <t>PEDIDO FARMACIA AMBULATORIA JUNIO. ADQUISICIÓN VÍA COMPRA ÁGIL. DESPACHO 7 DÍAS SEGÚN COTIZACIÓN. REF 1058012-396-COT25.</t>
  </si>
  <si>
    <t>SALES REHIDRATANTES 90 MEQ SODIO</t>
  </si>
  <si>
    <t>1058012-396-COT25</t>
  </si>
  <si>
    <t>EL HOSPITAL CLÍNICO DE MAGALLANES REQUIERE SALES REHIDRATANTES 90 MEQ SODIO. INDICAR AL COTIZAR: VALOR UNITARIO TOTAL, PRESENTACIÓN (UD),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</si>
  <si>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1058012-1936-AG24</t>
  </si>
  <si>
    <t>COMITÉ FARMACIA JULIO / CIANOCOBALAMINA 1000 MCG CP</t>
  </si>
  <si>
    <t>PEDIDO COMITÉ FARMACIA JULIO. ADQUISICIÓN VÍA COMPRA ÁGIL. DESPACHO PARCIALIZADO, PRIMER DESPACHO POR 90 COMPRIMIDOS, SIGUIENTES DESPACHOS EN CANTIDAD Y FECHAS A CONFIRMAR AL CORREO rodrigo.barria.b@redsalud.gob.cl Ó AL FONO 61-2293466 CON D. RODRIGO BARRÍA. REF 1058012-514-COT24.</t>
  </si>
  <si>
    <t>FARMACEUTICA BIOFORMULA LIMITADA</t>
  </si>
  <si>
    <t>76.030.398-4</t>
  </si>
  <si>
    <t>FARMACIAS INDEPENDIENTES| VENTA AL POR MENOR DE PRODUCTOS MEDICINALES| VENTA AL POR MENOR DE ARTICULOS DE TOCADOR Y COSMETICOS</t>
  </si>
  <si>
    <t>CIANOCOBALAMINA 1000 MG CP</t>
  </si>
  <si>
    <t>1058012-514-COT24</t>
  </si>
  <si>
    <t>EL HOSPITAL CLÍNICO DE MAGALLANES REQUIERE CIANOCOBALAMINA 1000 MG CP. INDICAR AL COTIZAR: VALOR UNITARIO TOTAL, PRESENTACIÓN (CP), FECHA VCTO, ADJUNTAR FICHA TÉCNICA Y/O REGISTRO ISP, TIPO DE TRASLADO CARGO PROVEEDOR CON DESPACHO PARCIALIZADO A SOLICITUD DEL HCM (ESPECIFICAR, PARA ACORDAR RETIRO CARGO HOSPITAL DE SER NECESARIO), E INDICAR SI CUENTA CON STOCK PARA DESPACHO INMEDIATO. SE DESESTIMARÁ OFERTA QUE INDIQUE VALOR REFERENCIAL $0 o $1, U OMITAN INFORMACIÓN Y DOCUMENTOS SOLICITADOS.</t>
  </si>
  <si>
    <t>Productos de Recetario Magistral, Venicimiento 40 dias segun DS79. Despacho en 48 a 72 hrs. Monto de Facturacion minima para despacho $40.000 + iva</t>
  </si>
  <si>
    <t>1058012-7071-AG25</t>
  </si>
  <si>
    <t>COMPRA ALTERNATIVA FARMACIA AMBULATORIA MAYO / ESTRADIOL 17 B 1 MG CM</t>
  </si>
  <si>
    <t>COMPRA ALTERNATIVA POR FALTA DE STOCK EN PROVEEDOR OC N° 1058012-6987-SE25. ADQUISICIÓN VÍA COMPRA ÁGIL. DESPACHO 72 HORAS CARGO DEL PROVEEDOR CARGO DEL PROVEEDOR. ZGEN 100002528. REF 1058012-309-COT25.</t>
  </si>
  <si>
    <t>1058012-309-COT25</t>
  </si>
  <si>
    <t>EL HOSPITAL CLÍNICO DE MAGALLANES REQUIERE ESTRADIOL 17 B 1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SOLICITADA.</t>
  </si>
  <si>
    <t>880955 PRIMAQUIN 1 MG CAJA X 30 COMPRIMIDOS PA ESTRADIOL 1 MG REG ISP F-11122/21 VENCE 16-07-2029 PLAZO ENTREGA 72 HORAS PRECIO COTIZADO ES POR COMPRIMIDO, TRANSPORTE TERRESTRE</t>
  </si>
  <si>
    <t>1058012-7374-AG25</t>
  </si>
  <si>
    <t>FALTA CENABAST/ONDANSETRON 2MG/ML SOL. INY. A. O FAM 2ML</t>
  </si>
  <si>
    <t>PEDIDO FALTA CENABAST. COMPRA AGIL. DESPACHOA CARGO DEL PROVEEDOR. 1058012-376-COT25</t>
  </si>
  <si>
    <t>NEOETHICALS CHILE SPA</t>
  </si>
  <si>
    <t>76.458.051-6</t>
  </si>
  <si>
    <t>ONDANSETRON 2MG/ML SOL. INY. A. O FAM 2ML</t>
  </si>
  <si>
    <t>1058012-376-COT25</t>
  </si>
  <si>
    <t>EL HCM REQUIERE ONDANSETRON 2MG/ML SOL. INY. A. O FAM 2ML.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</si>
  <si>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NEOETHICALS CHILE SPA. Entrega en 2-3 días hábiles una vez aceptada la orden de compra. Sin costo por despacho. Adjunto cotización detallada. Sin Pedido mínimo. Se adjunta ISP y anexos técnicos. Validez de oferta 60 días.</t>
  </si>
  <si>
    <t>1058012-574-AG24</t>
  </si>
  <si>
    <t>FARMACIA DOSIS UNITARIA MARZO/ LIDOCAINA HCI 2% 5 ML</t>
  </si>
  <si>
    <t>PEDIDO FARMACIA DOSIS UNITARIA MARZO. COMPRA AGIL DESPACHO PARCIAL CARGO DEL PROVEEDOR. 1058012-163-COT24</t>
  </si>
  <si>
    <t>LIDOCAINA HCI 2% 5 ML</t>
  </si>
  <si>
    <t>1058012-163-COT24</t>
  </si>
  <si>
    <t>EL HOSPITAL CLÍNICO DE MAGALLANES REQUIERE LIDOCAINA HCI 2% 5 ML. INDICAR AL COTIZAR: VALOR UNITARIO TOTAL, PRESENTACIÓN (ML),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</si>
  <si>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Cotización_0020162667, despacho en cajas cerradas, según factor de empaque. Despacho mínimo $200.000.- Nota. Producto sujeto a disponibilidad. Oferta no incluye traslado.</t>
  </si>
  <si>
    <t>1058012-1795-AG24</t>
  </si>
  <si>
    <t>(FAR) FARMACIA AMBULATORIA JULIO / SALES REHIDRATANTES 90 MEQ SODIO</t>
  </si>
  <si>
    <t>PEDIDO FARMACIA AMBULATORIA JULIO. ADQUISICIÓN VÍA COMPRA ÁGIL. FLETE 48 HRS. SEGÚN COTIZACIÓN. REF 1058012-508-COT24.</t>
  </si>
  <si>
    <t>Sobre</t>
  </si>
  <si>
    <t>1058012-508-COT24</t>
  </si>
  <si>
    <t>EL HOSPITAL CLÍNICO DE MAGALLANES REQUIERE SALES REHIDRATANTES 90 MEQ SODIO. INDICAR AL COTIZAR: VALOR UNITARIO TOTAL, PRESENTACIÓN (GR),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</si>
  <si>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1058012-6744-AG25</t>
  </si>
  <si>
    <t>COMPRA ALTERNATIVA FARMACIA AMBULATORIA MARZO / ESTRADIOL 17 B 1 MG CM</t>
  </si>
  <si>
    <t>COMPRA ALTERNATIVA POR FALTA DE STOCK EN PROVEEDOR OC N° 1058012-4649-SE25. ADQUISICIÓN VÍA COMPRA ÁGIL. DESPACHO 2 DÍAS CARGO DEL PROVEEDOR SEGÚN COTIZACIÓN. REF 1058012-197-COT25.</t>
  </si>
  <si>
    <t>1058012-197-COT25</t>
  </si>
  <si>
    <t>EL HOSPITAL CLÍNICO DE MAGALLANES REQUIERE ESTRADIOL 17 B 1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CUALQUIER INFORMACIÓN SOLICITADA PARA ESTA COTIZACIÓN.</t>
  </si>
  <si>
    <t>880955 PRIMAQUIN 1MG CAJA X 30 COMPRIMIDOS PA ESTRADIOL 1 MG REG ISP F-11122/21 VENCE 16-07-2029 FLETE INCLUIDO DESPACHO EN 2 DÍAS/48 HRS MÍN DE FACTURACIÓN 100.000 SE COTIZAN VALORES NETOS STOCK PARA DESPACHO INMEDIATO</t>
  </si>
  <si>
    <t>1058012-2760-AG24</t>
  </si>
  <si>
    <t>COMPRA ALTERNATIVA FARMACIA AMBULATORIA NOVIEMBRE / TIAMAZOL 5 MG CM</t>
  </si>
  <si>
    <t>COMPRA ALTERNATIVA POR FALTA DE STOCK EN PROVEEDOR OC N° 1058012-2648-SE24. ADQUISICIÓN VÍA COMPRA ÁGIL. FLETE CARGO DEL PROVEEDOR. ZGEN 100004941. REF 1058012-637-COT24.</t>
  </si>
  <si>
    <t>TIAMAZOL 5 MG CM</t>
  </si>
  <si>
    <t>1058012-637-COT24</t>
  </si>
  <si>
    <t>EL HOSPITAL CLÍNICO DE MAGALLANES REQUIERE TIAMAZOL 5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</si>
  <si>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Se adjunta cotización solicitada en base a stock disponible para despacho inmediato, una vez aceptada la OC, monto mínimo de despacho $150.000 netos y servicio de post venta. Valerie Aguilera Correo: licitaciones@pharmavisan.cl Fono: 223039417</t>
  </si>
  <si>
    <t>1057402-22060-AG25</t>
  </si>
  <si>
    <t>PEDIDO FARMACIA/PILAS N°13 AUDIFONOS (PROT</t>
  </si>
  <si>
    <t>PEDIDO PILAS 13, STOCK PARA MESES MARZO-DICIEMBRE 2025, COMPRA ÁGIL 1057402-480-COT25, FLETE CARTO HOSPITAL CON RETIROS PARCIALES MARZO-DICIEMBRE 2025</t>
  </si>
  <si>
    <t>DCV COMPUTACION LTDA</t>
  </si>
  <si>
    <t>76.449.981-6</t>
  </si>
  <si>
    <t>SUMINISTROS, EQUIPOS Y SERVICIOS COMPUTACIONALES</t>
  </si>
  <si>
    <t>PILAS N°13 AUDÍFONOS</t>
  </si>
  <si>
    <t>1057402-480-COT25</t>
  </si>
  <si>
    <t>SE REQUIEREN 7200 PILAS N°13 PARA AUDIFONOS, SE REQUERIRAN DESPACHOS PARCIALIZADOS DE 720 UNIDADES MENSUALES (MARZO A DICIEMBRE 2025).</t>
  </si>
  <si>
    <t>Se adjunta cotización con detalle de lo cotizado, tiempo de entrega días hábiles, despacho incluido</t>
  </si>
  <si>
    <t>1058012-7823-AG25</t>
  </si>
  <si>
    <t>FARMACIA AMBULATORIA JULIO / CALCIO CITRATO TETRAHIDRATADO / VITAMINA D3 ( C ) 313 MG / 400 UI</t>
  </si>
  <si>
    <t>PEDIDO FARMACIA AMBULATORIA JULIO. ADQUISICIÓN VÍA COMPRA ÁGIL. DESPACHO 7 DÍAS CARGO DEL PROVEEDOR SEGÚN COTIZACIÓN. REF 1058012-489-COT25.</t>
  </si>
  <si>
    <t>CALCIO CITRATO TETRAHIDRATADO / VITAMINA D3 ( C ) 313 MG / 400 UI</t>
  </si>
  <si>
    <t>1058012-489-COT25</t>
  </si>
  <si>
    <t>EL HOSPITAL CLÍNICO DE MAGALLANES REQUIERE CALCIO CITRATO TETRAHIDRATADO/VITAMINA D3 (C) 313 MG. INDICAR AL COTIZAR: VALOR UNITARIO TOTAL, PRESENTACIÓN (CP),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U OMITAN INFORMACIÓN Y DOCUMENTOS SOLICITADOS.</t>
  </si>
  <si>
    <t>1058012-4598-AG25</t>
  </si>
  <si>
    <t>COMPRA ALTERNATIVA FALTA CENABAST FEBRERO / ZOLPIDEM 10 MG CM</t>
  </si>
  <si>
    <t>COMPRA ALTERNATIVA POR FALTA DE STOCK EN OC N° 1058012-4429-SE25. ADQUISICIÓN VÍA COMPRA ÁGIL. DESPACHO 3 DÍAS HÁBILES SEGÚN COTIZACIÓN. ZGEN 100002087. REF 1058012-128-COT25.</t>
  </si>
  <si>
    <t>GADORPHARMA SPA</t>
  </si>
  <si>
    <t>76.453.466-2</t>
  </si>
  <si>
    <t>COMERCIALIZACIÓN DE PRODUCTOS FARMACÉUTICOS</t>
  </si>
  <si>
    <t>ZOLPIDEM 10 MG CM</t>
  </si>
  <si>
    <t>1058012-128-COT25</t>
  </si>
  <si>
    <t>EL HOSPITAL CLÍNICO DE MAGALLANES REQUIERE ZOLPIDEM 10 MG CM. INDICAR AL COTIZAR: VALOR UNITARIO TOTAL, PRESENTACIÓN (CM), FECHA VCTO, ADJUNTAR FICHA TÉCNICA Y/O REGISTRO ISP, TIPO DE TRASLADO (ESPECIFICAR, PARA ACORDAR RETIRO CARGO HOSPITAL DE SER NECESARIO), E INDICAR SI CUENTA CON STOCK PARA DESPACHO INMEDIATO. SE DECLARARA INADMISIBLE OFERTA QUE INDIQUE VALOR REFERENCIAL $0 o $1, NO ENTREGUEN DOCUMENTACIÓN TÉCNICA U OMITAN INFORMACIÓN.</t>
  </si>
  <si>
    <t>SOMIT COMPRIMIDOS RECUBIERTOS 10 mg ZOLPIDEM HEMITARTRATO, Estuche con 30 comprimidos. Reg ISP:F-24222. Valor indicado por comprimido. Plazo de entrega 3 dias habiles, vencimiento ofertado 30-03-2026, Sin canje.</t>
  </si>
  <si>
    <t>1058012-7477-AG25</t>
  </si>
  <si>
    <t>COMPRA ALTERNATIVA FARMACIA AMBULATORIA JUNIO / ESTRADIOL 17 B 1 MG CM</t>
  </si>
  <si>
    <t>COMPRA ALTERNATIVA POR FALTA DE STOCK EN PROVEEDOR OC N° 1058012-7338-SE25. ADQUISICIÓN VÍA COMPRA ÁGIL. DESPACHO 48 HRS. CARGO DEL PROVEEDOR SEGÚN COTIZACIÓN. REF 1058012-412-COT25.</t>
  </si>
  <si>
    <t>1058012-412-COT25</t>
  </si>
  <si>
    <t>880955 PRIMAQUIN 1 MG CAJA X 30 COMPRIMIDOS PA ESTRADIOL 1 MG REG ISP F-11122/21 VENCE 16-07-2029 PLAZO ENTREGA 48 HORAS PRECIO COTIZADO ES POR COMPRIMIDO</t>
  </si>
  <si>
    <t>1057402-935-AG24</t>
  </si>
  <si>
    <t>PEDIDO FARMACIA/PILAS DE AUDIFONOS ENERO 2024 - DICIEMBRE 2024 (PROT)</t>
  </si>
  <si>
    <t>PEDIDO FECHA 22-01-2024, COMPRA ÁGIL ID 1057402-120-COT24, ENTREGA CARGO PROVEEDOR. *****DESPACHO PARCIALIZADO MENSUAL DE ENERO 2024 A DICIEMBRE 2024***** MENSUAL PILAS 13: 540 UNIDADES MENSUAL PILAS 675: 90 UNIDADES MENSUAL PILAS 312: 50 UNIDADES</t>
  </si>
  <si>
    <t>WS AUDIOLOGY CHILE SPA</t>
  </si>
  <si>
    <t>76.136.334-4</t>
  </si>
  <si>
    <t>VENTA AL POR MAYOR DE OTROS PRODUCTOS N.C.P.| VENTAS AL POR MENOR DE OTROS PRODUCTOS EN ALMACENES ESPECIALIZADOS N.C| SOCIEDADES DE INVERSION Y RENTISTAS DE CAPITALES MOBILIARIOS EN GENERA| EMPRESAS DE ASESORIA, CONSULTORIA FINANCIERA Y DE APOYO AL GIRO</t>
  </si>
  <si>
    <t>PILAS AUDIFONO N°13</t>
  </si>
  <si>
    <t>1057402-120-COT24</t>
  </si>
  <si>
    <t>SE REQUIEREN PILAS PARA AUDIFONOS DE USUARIOS DEL HCM, SE DEBE ADJUNTAR FICHA TÉCNICA E INDICAR PLAZO DE ENTREGA, INDICAR SI CUENTA CON STOCK PARA DESPACHO INMEDIATO. SE DESESTIMARÁ OFERTA QUE INDIQUE VALOR REFERENCIAL $0 o $1, O QUE OMITA INFORMACIÓN SOLICITADA.</t>
  </si>
  <si>
    <t>Estimados adjunto cotización de pilas para audífonos 13,675,312, plazo de entrega 10 días hábiles, no existe ficha técnica de las pilas , indicar que son pilas ZINC -AIR</t>
  </si>
  <si>
    <t>PILAS AUDIFONO N°675</t>
  </si>
  <si>
    <t>PILAS AUDIFONO N°312</t>
  </si>
  <si>
    <t>1058012-6642-AG25</t>
  </si>
  <si>
    <t>FARMACIA AMBULATORIA MARZO / CALCIO CITRATO TETRAHIDRATADO / VITAMINA D3 ( C ) 313 MG / 400 UI</t>
  </si>
  <si>
    <t>PEDIDO FARMACIA AMBULATORIA MARZO. ADQUISICIÓN VÍA COMPRA ÁGIL. DESPACHO 7 DÍAS CARGO DEL PROVEEDOR SEGÚN COTIZACIÓN. REF 1058012-172-COT25.</t>
  </si>
  <si>
    <t>1058012-172-COT25</t>
  </si>
  <si>
    <t>EL HOSPITAL CLÍNICO DE MAGALLANES REQUIERE VITAMINA D3 ( C ) 313 MG / 400 UI. INDICAR AL COTIZAR: VALOR UNITARIO TOTAL, PRESENTACIÓN (CP),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INFORMACIÓN.</t>
  </si>
  <si>
    <t>1058012-425-AG24</t>
  </si>
  <si>
    <t>FALTA CENABAST FEBRERO / OXITOCINA SINT AM 5 UI</t>
  </si>
  <si>
    <t>PEDIDO FALTA DISTRIBUCIÓN CENABAST FEBRERO. ADQUISICIÓN VÍA COMPRA ÁGIL. FLETE CARGO DEL PROVEEDOR. ZGEN 100001111. REF 1058012-146-COT24.</t>
  </si>
  <si>
    <t>OXITOCINA SINTETICA AM 5 UI</t>
  </si>
  <si>
    <t>1058012-146-COT24</t>
  </si>
  <si>
    <t>EL HOSPITAL CLÍNICO DE MAGALLANES REQUIERE OXITOCINA SINTETICA AM 5 UI. INDICAR AL COTIZAR: VALOR UNITARIO TOTAL, PRESENTACIÓN (AM),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</si>
  <si>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COTIZACION N° 20162063 Despacho en cajas cerradas, según factor de empaque. | Precio considera traslado</t>
  </si>
  <si>
    <t>1058012-635-AG24</t>
  </si>
  <si>
    <t>COMPRA ALTERNATIVA MARZO FALTA CENABAST/ LEVOFLOXACINO 500 MG CM</t>
  </si>
  <si>
    <t>COMPRA ALTERNATIVA POR FALTA CENABAST OC ANTERIOR N° ORDEN 1057402-600-SE24 ADQUISICIÓN VÍA COMPRA ÁGIL 1058012-204-COT24 DESPACHO 2 A 3 DÍAS HABILES CARGO PROVEEDOR ZGEN 100000912. CONFIRMAR CON EL SR. RODRIGO BARRÍA AL CORREO seguimiento.farmacia@redsalud.gov.cl Ó AL FONO 61 -2293466.</t>
  </si>
  <si>
    <t>LEVOFLOXACINO 500 MG CM</t>
  </si>
  <si>
    <t>1058012-204-COT24</t>
  </si>
  <si>
    <t>EL HOSPITAL CLÍNICO DE MAGALLANES REQUIERE LEVOFLOXACINO 500 MG CM. INDICAR AL COTIZAR: VALOR UNITARIO TOTAL, PRESENTACIÓN (CM), FECHA VCTO, ADJUNTAR FICHA TÉCNICA Y/O REGISTRO ISP, TIPO DE TRASLADO (ESPECIFICAR, PARA ACORDAR RETIRO CARGO HOSPITAL DE SER NECESARIO), E INDICAR SI CUENTA CON STOCK PARA DESPACHO INMEDIATO. SE DESESTIMARÁ OFERTA QUE INDIQUE VALOR REFERENCIAL $0 o $1, U OMITAN INFORMACIÓN.</t>
  </si>
  <si>
    <t>1058012-7824-AG25</t>
  </si>
  <si>
    <t>COMPRA ALTERNATIVA FALTA CENABAST FARMACIA AMBULATORIA JUNIO / LEVETIRACETAM 1000 MG CM</t>
  </si>
  <si>
    <t>COMPRA ALTERNATIVA POR FALTA DE STOCK EN PROVEEDOR OC N° 1058012-7424-SE25. ADQUISICIÓN VÍA COMPRA ÁGIL. DESPACHO 48 HORAS CARGO DEL PROVEEDOR SEGÚN COTIZACIÓN. ZGEN 100002070. REF 1058012-493-COT25.</t>
  </si>
  <si>
    <t>Alpha Pharma Chile SpA</t>
  </si>
  <si>
    <t>76.479.314-5</t>
  </si>
  <si>
    <t>Importadora de Productos Farmacéuticos</t>
  </si>
  <si>
    <t>LEVETIRACETAM 1000 MG CM</t>
  </si>
  <si>
    <t>1058012-493-COT25</t>
  </si>
  <si>
    <t>EL HOSPITAL CLÍNICO DE MAGALLANES REQUIERE LEVETIRACETAM 1000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Y/O DOCUMENTOS SOLICITADOS.</t>
  </si>
  <si>
    <t>CL40073 LEVETIRACETAM 1000 mg COMPRIMIDOS REC. ESTUCHE 3 X 10 ALU-PVC REG N°F-22677/21 VCTO 31/08/27. PLAZO DE ENTREGA: 48 HRS. VALOR INDICADO INCLUYE FLETE. MONTO MIN. DESPACHO $75.000. CONTACTO: jose.salas@sevenpharma.net</t>
  </si>
  <si>
    <t>1058012-1796-AG24</t>
  </si>
  <si>
    <t>(FAR) FARMACIA AMBULATORIA JULIO / VITAMINA B1/B6/B12 CM</t>
  </si>
  <si>
    <t>PEDIDO FARMACIA AMBULATORIA JULIO. ADQUISICIÓN VÍA COMPRA ÁGIL. FLETE 1 DÍA HÁBIL SEGÚN COTIZACIÓN. REF 1058012-509-COT24.</t>
  </si>
  <si>
    <t>OPKO CHILE S.A.</t>
  </si>
  <si>
    <t>76.669.630-9</t>
  </si>
  <si>
    <t>1058012-509-COT24</t>
  </si>
  <si>
    <t>EL HOSPITAL CLÍNICO DE MAGALLANES REQUIERE VITAMINA B1/B6/B12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</si>
  <si>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EN ADJUNTO COTIZACION Y DOCUMENTACION TECNICA.</t>
  </si>
  <si>
    <t>1057402-22506-AG25</t>
  </si>
  <si>
    <t>(FAR) PARTICULAR FARMACIA / CINTA GLICEMIA APARATO AUDIBLE</t>
  </si>
  <si>
    <t>PEDIDO (FAR) PARTICULAR FARMACIA. (INSUMO COMPATIBLE CON MONITOR DE LECTURA AUDIBLE DE GLUCOSA). ADQUISICIÓN VÍA COMPRA ÁGIL. DESPACHO 3 DÍAS CARGO DEL PROVEEDOR SEGÚN COTIZACIÓN. REF 1057402-613-COT25.</t>
  </si>
  <si>
    <t>COMERCIAL I-SENS CHILE SPA</t>
  </si>
  <si>
    <t>76.440.218-9</t>
  </si>
  <si>
    <t>CINTA GLICEMIA CARE SENS N VOICE (AUDIBLE PARA PACIENTE NO VIDENTE)</t>
  </si>
  <si>
    <t>1057402-613-COT25</t>
  </si>
  <si>
    <t>EL HOSPITAL CLÍNICO DE MAGALLANES REQUIERE CINTA GLICEMIA CARE SENS N VOICE. INDICAR AL COTIZAR: VALOR UNITARIO TOTAL, PRESENTACIÓN (UD), FECHA VCTO, ADJUNTAR FICHA TÉCNICA Y/O REGISTRO ISP, TIPO DE TRASLADO CARGO PROVEEDOR (ESPECIFICAR, PARA ACORDAR RETIRO CARGO HOSPITAL DE SER NECESARIO), E INDICAR SI CUENTA CON STOCK PARA DESPACHO INMEDIATO. SE DECLARARA INADMISIBLE OFERTA QUE INDIQUE VALOR REFERENCIAL $0 o $1, U OMITAN INFORMACIÓN Y DOCUMENTOS SOLICITADOS EN ESTA COTIZACIÓN.</t>
  </si>
  <si>
    <t>Oferta 36 Frasco Cintas de Glicemia CareSens N Strip 50T Bonifica 1 Kit Glucómetros CareSens N Voice Kit Bonifica 36 Caja Lancetas CareSens Lancet 50T 30G, despacho 7 días, se adjunta Cotización y Ficha Técnica, despacho incluido e inmediato.</t>
  </si>
  <si>
    <t>1058012-7753-AG25</t>
  </si>
  <si>
    <t>COMPRA ALTERNATIVA URGENTE STOCK CRÍTICO FARMACIA AMBULATORIA JULIO / DILTIAZEM 60 MG CM</t>
  </si>
  <si>
    <t>COMPRA ALTERNATIVA POR FALTA DE STOCK EN PROVEEDOR OC N° 1058012-7619-SE25 Y OC N° 1058012-7659-SE25. ADQUISICIÓN VÍA COMPRA ÁGIL. DESPACHO 15 DÍAS CARGO DEL PROVEEDOR SEGÚN COTIZACIÓN. SE PUEDE ACORDAR RETIRO EN CASO DE SER NECESARIO. ZGEN 100003826. REF 1058012-463-COT25.</t>
  </si>
  <si>
    <t>CHEMOPHARMA S A</t>
  </si>
  <si>
    <t>96.026.000-7</t>
  </si>
  <si>
    <t>DILTIAZEM 60 MG CM</t>
  </si>
  <si>
    <t>1058012-463-COT25</t>
  </si>
  <si>
    <t>EL HOSPITAL CLÍNICO DE MAGALLANES REQUIERE DILTIAZEM 60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$1, U OMITAN INFORMACIÓN Y DOCUMENTOS SOLICITADOS.</t>
  </si>
  <si>
    <t>C-PT4734. TILDIEM 60 MG X 60 COMP.(Equivalente Terapéutico). VENCE: 31-08-2026.N° REG. ISP:F-3407/20. VALIDEZ OFERTA:30 DÍAS. MONTO MÍNIMO: $120.000+IVA. PLAZO DE ENTREGA:15 DÍAS HÁBILES.DE SER NECESARIO, SE PUEDE ACORDAR RETIRO CON CARGO AL HOSPITAL.</t>
  </si>
  <si>
    <t>1058012-106-AG25</t>
  </si>
  <si>
    <t>FARMACIA AMBULATORIA ENERO / CALCIO CITRATO TETRAHIDRATADO / VITAMINA D3 ( C ) 313 MG / 400 UI</t>
  </si>
  <si>
    <t>PEDIDO FARMACIA AMBULATORIA ENERO. ADQUISICÓN VÍA COMPRA ÁGIL. FLETE 3 DÍAS HÁBILES SEGÚN COTIZACIÓN. REF 1058012-15-COT25.</t>
  </si>
  <si>
    <t>1058012-15-COT25</t>
  </si>
  <si>
    <t>EL HOSPITAL CLÍNICO DE MAGALLANES REQUIERE CALCIO CITRATO TETRAHIDRATADO / VITAMINA D3 ( C ) 313 MG / 400 UI.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</si>
  <si>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CALCIMAX® D3 400 UI, Calcio Citrato 315mg Vit D3 400UI, presentación x 60 comprimidos. Fabrica Gador S.A Argentina, Reg ISP: F-15657-21, Entrega 3 Días habiles, aplica horario corte, Vcto: 30.04.2026. Monto mínimo Despacho. $ 100.000.</t>
  </si>
  <si>
    <t>1058012-105-AG25</t>
  </si>
  <si>
    <t>FARMACIA AMBULATORIA ENERO / VITAMINA B1/B6/B12 CM</t>
  </si>
  <si>
    <t>PEDIDO FARMACIA AMBULATORIA ENERO. ADQUISICIÓN VÍA COMPRA ÁGIL. FLETE 72 HRS CARGO DEL PROVEEDOR. REF 1058012-14-COT25.</t>
  </si>
  <si>
    <t>1058012-14-COT25</t>
  </si>
  <si>
    <t>FACTURACION MINIMA $50.000+IVA PARA SANTIAGO Y $75.000+IVA PARA REGIONES, DESPACHO: STGO 24-48 HR Y REGIONES 72 HR, UNIDAD MIN. COTIZADA, SE AJUSTARÁ A FACTOR DE EMPAQUE, REG.ISP, FACT.ELECTRONICA. STOCK DISPONIBLE PARA ENTREGA INMEDIATA.</t>
  </si>
  <si>
    <t>1058012-874-AG24</t>
  </si>
  <si>
    <t>FALTA CENABAST ABRIL / PRIMIDONA 250 MG CM</t>
  </si>
  <si>
    <t>PEDIDO FALTA DISTRIBUCIÓN CENABAST ABRIL. ADQUISICIÓN VÍA COMPRA ÁGIL. FLETE CARGO DEL PROVEEDOR. REF 1058012-277-COT24.</t>
  </si>
  <si>
    <t>PRIMIDONA 250 MG CM</t>
  </si>
  <si>
    <t>1058012-277-COT24</t>
  </si>
  <si>
    <t>EL HOSPITAL CLÍNICO DE MAGALLANES REQUIERE PRIMIDONA 250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</si>
  <si>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199421 PRIMIDONA 250 MG CJX50 COMP LAB CHILE 31-12-2025 DROGUERÍA GLOBAL PHARMA SPA POSEE TRANSPORTE FDEX/TNT/STARKEN ENTREGA EN 14 DÍAS HÁBILES, MÍNIMO DE COMPRA $30.000 MÁS IVA. INFO AESCOBEDO@GLOBAL-PHARMA.CL</t>
  </si>
  <si>
    <t>1058012-860-AG24</t>
  </si>
  <si>
    <t>COMPRA ALTERNATIVA STOCK CRÍTICO CAMPAÑA INVIERNO FARMACIA AMBULATORIA ABRIL / DICLOFENACO 12,5 MG SUP</t>
  </si>
  <si>
    <t>COMPRA ALTERNATIVA POR FALTA DE STOCK EN PROVEEDOR N° ORDEN 1058012-787-SE24. ADQUISICIÓN VÍA COMPRA ÁGIL. FLETE CARGO DEL PROVEEDOR. REF 1058012-267-COT24.</t>
  </si>
  <si>
    <t>DICLOFENACO 12,5 MG SUP</t>
  </si>
  <si>
    <t>Supositorio</t>
  </si>
  <si>
    <t>1058012-267-COT24</t>
  </si>
  <si>
    <t>EL HOSPITAL CLÍNICO DE MAGALLANES REQUIERE DICLOFENACO 12,5 MG SUP. INDICAR AL COTIZAR: VALOR UNITARIO TOTAL, PRESENTACIÓN (SUP),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</si>
  <si>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DICLOFENACO SUP.12,5MG.CX5*ENTREGA DE 24 A 48 HORAS, VENCE SUPERIOR A 12 MESES, DESPACHO INCLUIDO EN EL PRECIO, SIN MINIMO DE COMPRA, OFERENTE Ximena Silva/9-57438894/xsilva@adnfarmaceutica.cl</t>
  </si>
  <si>
    <t>1058012-1126-AG24</t>
  </si>
  <si>
    <t>COMITÉ FARMACIA MAYO / CALCIO CITRATO TETRAHIDRATADO - VITAMINA D3 (C) 313 MG 400 UI CP</t>
  </si>
  <si>
    <t>PEDIDO COMITÉ FARMACIA MAYO. ADQUISICIÓN VÍA COMPRA ÁGIL. FLETE CARGO DEL PROVEEDOR. REF 1058012-349-COT24.</t>
  </si>
  <si>
    <t>CALCIO CITRATO TETRAHIDRATADO - VITAMINA D3 (C) 313 MG 400 UI CP</t>
  </si>
  <si>
    <t>1058012-349-COT24</t>
  </si>
  <si>
    <t>EL HOSPITAL CLÍNICO DE MAGALLANES REQUIERE CALCIO CITRATO TETRAHIDRATADO - VITAMINA D3 (C) 313 MG 400 UI CP. INDICAR AL COTIZAR: VALOR UNITARIO TOTAL, PRESENTACIÓN (CP),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</si>
  <si>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CALCIMAX® D3 400 UI, Calcio Citrato 315mg Vit D3 400UI, presentación x 30 comprimidos. Fabrica Gador S.A Argentina, Reg ISP: F-15657-21, Entrega 3 Días habiles, aplica horario corte, Vcto: 30.03.2025, Sin canje y/o devolución, Monto mínimo D. 100.000.</t>
  </si>
  <si>
    <t>1058012-1664-AG24</t>
  </si>
  <si>
    <t>COMPRA ALTERNATIVA FARMACIA AMBULATORIA JULIO / TIAMINA CLORHIDRATO 10 MG CM</t>
  </si>
  <si>
    <t>COMPRA ALTERNATIVA POR FALTA DE STOCK EN PROVEEDOR OC N° 1058012-1530-SE24. FLETE 72 HORAS SEGÚN COTIZACIÓN. ZGEN 100001662. REF 1058012-462-COT24.</t>
  </si>
  <si>
    <t>TIAMINA CLORHIDRATO 10 MG CM</t>
  </si>
  <si>
    <t>1058012-462-COT24</t>
  </si>
  <si>
    <t>EL HOSPITAL CLÍNICO DE MAGALLANES REQUIERE TIAMINA CLORHIDRATO 10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</si>
  <si>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Se adjunta Ficha tecnica para su evaluacion. Monto m?nimo de compra $50.000. Despacho en Santiago 24 hrs . Regiones hasta 72 hrs (sin costo)</t>
  </si>
  <si>
    <t>1058012-1541-AG24</t>
  </si>
  <si>
    <t>COMPRA ALTERNATIVA FARMACIA AMBULATORIA JUNIO / TIAMINA CLORHIDRATO 10 MG CM</t>
  </si>
  <si>
    <t>COMPRA ALTERNATIVA POR FALTA DE STOCK EN PROVEEDOR OC N° 1058012-1301-SE24. ADQUISICIÓN VÍA COMPRA ÁGIL. FLETE 72 HRS. SEGÚN COTIZACIÓN. ZGEN 100001662. REF 1058012-438-COT24.</t>
  </si>
  <si>
    <t>1058012-438-COT24</t>
  </si>
  <si>
    <t>1058012-1250-AG24</t>
  </si>
  <si>
    <t>COMITÉ FARMACIA MAYO / ESOMEPRAZOL MAGNÉSICO 20 MG CM</t>
  </si>
  <si>
    <t>PEDIDO COMITÉ FARMACIA MAYO. ADQUISICIÓN VÍA COMPRA ÁGIL. FLETE CARGO DEL PROVEEDOR. DESPACHO PARCIALIZADO, 1.500 COMPRIMIDOS AL ACEPTAR OC, COMPRIMIDOS RESTANTES SERAN COORDINADAS POR D. RODRIGO BARRIA (CORREO rodrigo.barria.hcm@gmail.com - FONO 61-2293466.) REF 1058012-367-COT24. COMITÉ FARMACIA N°4 DEL 29-04-2024.</t>
  </si>
  <si>
    <t>ESOMEPRAZOL MAGNÉSICO 20 MG CM</t>
  </si>
  <si>
    <t>1058012-367-COT24</t>
  </si>
  <si>
    <t>EL HOSPITAL CLÍNICO DE MAGALLANES REQUIERE ESOMEPRAZOL MAGNÉSICO 20 MG CM. INDICAR AL COTIZAR: VALOR UNITARIO TOTAL, PRESENTACIÓN (CM), FECHA VCTO, ADJUNTAR FICHA TÉCNICA Y/O REGISTRO ISP, TIPO DE TRASLADO CARGO PROVEEDOR, SE SOLICITARAN DESPACHOS PARCIALIZADOS SEGÚN SOLICITUDES DEL HOSPITAL. (ESPECIFICAR, PARA ACORDAR RETIRO CARGO HOSPITAL DE SER NECESARIO), E INDICAR SI CUENTA CON STOCK PARA DESPACHO INMEDIATO. SE DESESTIMARÁ OFERTA QUE INDIQUE VALOR REFERENCIAL $0 o $1, U OMITAN INFORMACIÓN</t>
  </si>
  <si>
    <t>FACTURACION MINIMA $50.000+IVA PARA SANTIAGO Y $75.000+IVA PARA REGIONES,DESPACHO:STGO 24-48 HR Y REGIONES 72 HR, FLETE ADICIONALSOLO SUEROS X VOLUMEN,UNIDAD MIN. COTIZADA, SE AJUSTARÁ A FACTOR DE EMPAQUE,REG.ISP,FACT.ELECTRONICA.</t>
  </si>
  <si>
    <t>1058012-6904-AG25</t>
  </si>
  <si>
    <t>COMPRA ALTERNATIVA FALTA CENABAST FEBRERO / CITALOPRAM 20 MG CM</t>
  </si>
  <si>
    <t>COMPRA ALTERNATIVA POR FALTA DE STOCK EN PROVEEDOR OC N° 1058012-4494-AG25. ADQUISICIÓN VÍA COMPRA ÁGIL. DESPACHO 72 HORAS CARGO DEL PROVEEDOR SEGÚN COTIZACIÓN. ZGEN 100000382. REF 1058012-259-COT25.</t>
  </si>
  <si>
    <t>CITALOPRAM 20 MG CM</t>
  </si>
  <si>
    <t>1058012-259-COT25</t>
  </si>
  <si>
    <t>EL HOSPITAL CLÍNICO DE MAGALLANES REQUIERE SUPLEMENTO CITALOPRAM 20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SOLICITADA.</t>
  </si>
  <si>
    <t>FACTURACION MINIMA STGO $ 50.000+IVA (DESPACHO 24 HRS.) REGIONES $ 75,000 + IVA (DESPACHO 48-72 HRS.) FLETE ADICIONAL SUEROS X VOLUMEN Y PESO.PDCTOS NO DISPONIBLES SE SUBIRAN A $ 1.FACT.ELECTRONICA SERV.POST-VENTA</t>
  </si>
  <si>
    <t>1058012-2758-AG24</t>
  </si>
  <si>
    <t>COMPRA ALTERNATIVA FARMACIA AMBULATORIA OCTUBRE / POLIVITAMINICO CP</t>
  </si>
  <si>
    <t>COMPRA ALTERNATIVA POR FALTA DE STOCK EN PROVEEDOR OC N° 1058012-2297-SE24. ADQUISICIÓN VÍA COMPRA ÁGIL FLETE 3 A 5 DÍAS HÁBILES SEGÚN COTIZACIÓN. REF 1058012-626-COT24.</t>
  </si>
  <si>
    <t>COMERCIAL EL PRADO S A</t>
  </si>
  <si>
    <t>96.776.130-3</t>
  </si>
  <si>
    <t>POLIVITAMINICO (ACIDO ASCORBICO, CIANOCOBALAMINA, ERGOCALCIFEROL, NIACINAMIDA, PIRIDOXINA, RETINOL, RIBOFLAVINA, TIAMINA) NO DEBE CONTENER CAFEINA Y GINSENG</t>
  </si>
  <si>
    <t>1058012-626-COT24</t>
  </si>
  <si>
    <t>EL HOSPITAL CLÍNICO DE MAGALLANES REQUIERE POLIVITAMINICO CP. INDICAR AL COTIZAR: VALOR UNITARIO TOTAL, PRESENTACIÓN (CP),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</si>
  <si>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Polivitaminico en capsulas. Estuche x 100 capsulas. Vigencia 18 meses. Se adjunta ficha tecnica para su aprobacion. Despacho incluido de 3 a 5 dias habiles, minimo 100.000 + iva.</t>
  </si>
  <si>
    <t>1058012-7176-AG25</t>
  </si>
  <si>
    <t>COMPRA ALTERNATIVA STOCK CRÍTICO FARMACIA AMBULATORIA MAYO / TRAMADOL 50 MG CM</t>
  </si>
  <si>
    <t>COMPRA ALTERNATIVA POR FALTA DE STOCK EN PROVEEDOR OC N° 1058012-7045-SE25. ADQUISICIÓN VÍA COMPRA ÁGIL. DESPACHO 3 DÍAS CARGO DEL PROVEEDOR SEGÚN COTIZACIÓN. ZGEN 100001465. REF 1058012-338-COT25.</t>
  </si>
  <si>
    <t>TRAMADOL 50 MG CM</t>
  </si>
  <si>
    <t>1058012-338-COT25</t>
  </si>
  <si>
    <t>EL HOSPITAL CLÍNICO DE MAGALLANES REQUIERE TRAMADOL 50 MG CM. INDICAR AL COTIZAR: VALOR UNITARIO TOTAL, PRESENTACIÓN (CM), FECHA VCTO, ADJUNTAR FICHA TÉCNICA Y/O REGISTRO ISP, TIPO DE TRASLADO (ESPECIFICAR, PARA ACORDAR RETIRO CARGO HOSPITAL DE SER NECESARIO), E INDICAR SI CUENTA CON STOCK PARA DESPACHO INMEDIATO. SE DECLARARÁ INADMISIBLE OFERTA QUE INDIQUE VALOR REFERENCIAL $0 o $1, U OMITAN INFORMACIÓN SOLICITADA.</t>
  </si>
  <si>
    <t>SE ADJUNTA COTIZACION Entrega en 48 horas una vez aceptada la orden de compra. Monto minimo de compra 50.000 neto. Afecto a políticas de canje. Sin costo por despacho. Vigencia de cotización 60 días. BECRUX-ETHON</t>
  </si>
  <si>
    <t>1058012-1788-AG24</t>
  </si>
  <si>
    <t>COMPRA ALTERNATIVA STOCK CRÍTICO FARMACIA JULIO / ATORVASTATINA 40 MG CM</t>
  </si>
  <si>
    <t>COMPRA ALTERNATIVA POR FALTA DE STOCK EN PROVEEDOR OC N° 1058012-1731-SE24. ADQUISICIÓN VÍA COMPRA ÁGIL. FLETE 4 DÍAS SEGÚN COTIZACIÓN. ZGEN 100002074. REF 1058012-504-COT24.</t>
  </si>
  <si>
    <t>ASCEND LABORATORIES SPA</t>
  </si>
  <si>
    <t>76.175.092-5</t>
  </si>
  <si>
    <t>OTRAS ACTIVIDADES EMPRESARIALES RELACIONADAS CON LA SALUD HUMANA</t>
  </si>
  <si>
    <t>ATORVASTATINA 40 MG CM</t>
  </si>
  <si>
    <t>1058012-504-COT24</t>
  </si>
  <si>
    <t>EL HOSPITAL CLÍNICO DE MAGALLANES REQUIERE ATORVASTATINA 40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</si>
  <si>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ATORVASTATINA COMP REC 40MG-BE-CAJA X 30 COMP REC,REG ISP:F-23378 FAB x ALKEM LABS LTD, INDIA VENCE:08/25 CERTIF.GMP.EMA.ALEMANA.PRECIO NETO x COMP FLETE SIN CARGO SIN M?NIMO FACTURACI?N.ENTREGA EN 4 DIA.SE ADJUNTA CANJE</t>
  </si>
  <si>
    <t>1058012-1956-AG24</t>
  </si>
  <si>
    <t>COMPRA ALTERNATIVA FALTA CENABAST JULIO / ATORVASTATINA 40 MG CM</t>
  </si>
  <si>
    <t>COMPRA ALTERNATIVA POR FALTA DE STOCK EN PROVEEDOR OC N° 1058012-1804-SE24. ADQUISICIÓN VÍA COMPRA ÁGIL. FLETE 48 HORAS HÁBILES SEGÚN COTIZACIÓN. ZGEN 100002074. REF 1058012-520-COT24.</t>
  </si>
  <si>
    <t>1058012-520-COT24</t>
  </si>
  <si>
    <t>ATORVASTATINA COMPRIMIDOS RECUBIERTOS 40MG - BE, CAJA X 30 COMP.REC. REGISTRO ISP: F-23378 FABRICADO POR ALKEM LABORATORIES LTD, INDIA VENCIMIENTO: OCTUBRE 2026 GMP EMA AGENCIA ALEMANA PRECIO NETO COTIZADO POR COMPRIMIDO FLETE INCL. 48 HRS.H?B.M?X.</t>
  </si>
  <si>
    <t>1058012-100-AG25</t>
  </si>
  <si>
    <t>FARMACIA AMBULATORIA ENERO / ATENOLOL 100 MG CM</t>
  </si>
  <si>
    <t>PEDIDO FARMACIA AMBULATORIA ENERO. ADQUISICIÓN VÍA COMPRA ÁGIL. FLETE 24 A 48 HRS SEGÚN COTIZACIÓN. ZGEN 100000166. FLETE REF 1058012-5-COT25.</t>
  </si>
  <si>
    <t>ATENOLOL 100 MG CM</t>
  </si>
  <si>
    <t>1058012-5-COT25</t>
  </si>
  <si>
    <t>EL HOSPITAL CLÍNICO DE MAGALLANES REQUIERE ATENOLOL 100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</si>
  <si>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ATENOLOL BE.COM.100MG CX20*ENTREGA DE 24 A 48 HRS, VENCE MAS DE 12 MESES, DESPACHO INCLUIDO EN EL PRECIO, SIN MINIMO DE COMPRA,CON POLITICA DE CANJE, OFERENTE Ximena Silva/9-57438894/xsilva@adnfarmaceutica.cl</t>
  </si>
  <si>
    <t>1058012-1643-AG24</t>
  </si>
  <si>
    <t>COMPRA ALTERNATIVA FALTA CENABAST ABRIL Y JUNIO / METFORMINA CLORHIDRATO 850 MG CM</t>
  </si>
  <si>
    <t>COMPRA ALTERNATIVA POR FALTA DE STOCK EN PROVEEDOR OC N° 1058012-833-SE24 Y 1058012-1387-SE24. FLETE 5 DÍAS SEGÚN COTIZACIÓN. ZGEN 100001023. REF 1058012-441-COT24.</t>
  </si>
  <si>
    <t>METFORMINA CLORHIDRATO 850 MG CM</t>
  </si>
  <si>
    <t>1058012-441-COT24</t>
  </si>
  <si>
    <t>EL HOSPITAL CLÍNICO DE MAGALLANES REQUIERE METFORMINA CLORHIDRATO 850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</si>
  <si>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Se adjunta cotización detallada, Contacto F. 225104550, contacto@scmpharma.cl, Despacho sin costo, Envio 5 dias- monto mínimo de despacho $ 150.000.- Cotización valida por 15 días.</t>
  </si>
  <si>
    <t>1058012-1972-AG24</t>
  </si>
  <si>
    <t>COMPRA ALTERNATIVA FALTA CENABAST JULIO / AMLODIPINO 10 MG CM</t>
  </si>
  <si>
    <t>COMPRA ALTERNATIVA POR FALTA STOCK EN PROVEEDOR OC N° 1058012-1742-SE24. ADQUISICIÓN VÍA COMPRA ÁGIL. FLETE CARGO DEL PROVEEDOR. ZGEN 100002901. REF 1058012-528-COT24.</t>
  </si>
  <si>
    <t>COMERCIAL ETHOS S A</t>
  </si>
  <si>
    <t>78.583.750-9</t>
  </si>
  <si>
    <t>VENTA AL POR MENOR DE ARTICULOS ORTOPEDICOS| VENTAS AL POR MENOR DE OTROS PRODUCTOS EN ALMACENES ESPECIALIZADOS N.C| ACTIVIDADES DE ASESORAMIENTO EMPRESARIAL Y EN MATERIA DE GESTION| SERVICIOS DE INGENIERIA PRESTADOS POR EMPRESAS N.C.P.| OTROS SERVICIOS D</t>
  </si>
  <si>
    <t>AMLODIPINO 10 MG CM</t>
  </si>
  <si>
    <t>1058012-528-COT24</t>
  </si>
  <si>
    <t>EL HOSPITAL CLÍNICO DE MAGALLANES REQUIERE AMLODIPINO 10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</si>
  <si>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AMLODIPINO COM 10 MG X 30 -LAB ASCEND - VENCE:10-2026 - DESPACHO INCLUIDO - PARA MAYOR INFORMACIÓN CONTACTAR A ISABEL AZUAJE ÁVILA - IAZUAJE@ETHOSCHILE.CL</t>
  </si>
  <si>
    <t>1058012-4435-AG25</t>
  </si>
  <si>
    <t>COMPRA ALTERNATIVA STOCK CRÍTICO FARMACIA AMBULATORIA FEBRERO / CELECOXIB 200 MG CP</t>
  </si>
  <si>
    <t>COMPRA ALTERNATIVA POR FALTA DE STOCK EN OC N° 1058012-4355-SE25. ADQUISICIÓN VÍA COMPRA ÁGIL. DESPACHO 24 HRS. SEGÚN COTIZACIÓN. ZGEN 100000362. REF 1058012-116-COT25.</t>
  </si>
  <si>
    <t>DROGUERIA FARMACEUTICA DEL PACIFICO SPA</t>
  </si>
  <si>
    <t>77.477.947-7</t>
  </si>
  <si>
    <t>CELECOXIB 200 MG CP</t>
  </si>
  <si>
    <t>1058012-116-COT25</t>
  </si>
  <si>
    <t>EL HOSPITAL CLÍNICO DE MAGALLANES REQUIERE CELECOXIB 200 MG CP. INDICAR AL COTIZAR: VALOR UNITARIO TOTAL, PRESENTACIÓN (CP), FECHA VCTO, ADJUNTAR FICHA TÉCNICA Y/O REGISTRO ISP, TIPO DE TRASLADO y ESPECIFICAR FECHA DE ENTREGA, INDICAR SI CUENTA CON STOCK PARA DESPACHO INMEDIATO. SE DECLARARA INADMISIBLE OFERTA QUE INDIQUE VALOR REFERENCIAL $0 o $1, U OMITAN INFORMACIÓN Y DOCUMENTOS TÉCNICOS.</t>
  </si>
  <si>
    <t>CELECOXIB 200MG X 500 CAPS VENC ABRIL/2026 REG ISP F-27392 SIN COSTO DE ENVIO DESPACHO 24 HORAS UNA VEZ ACEPTADA LA OC REP VENTA PAULA QUINTNA +56 9 6520 0405</t>
  </si>
  <si>
    <t>1058012-8156-AG25</t>
  </si>
  <si>
    <t>COMPRA ALTERNATIVA FALTA CENABAST/ ZOPICLONA 7,5 MG CM</t>
  </si>
  <si>
    <t>COMPRA ALTERNATIVA POR FALTA DE STOCK EN PROVEEDOR DE N° ORDEN 1058012-7977-SE25. ADQUISICIÓN VÍA COMPRA ÁGIL. TRASLADO CARGO A CONFIRMAR CON EL SR. RODRIGO BARRÍA AL CORREO rodrigo.barria.b@redsalud.gov.cl Ó AL FONO 61 -2293466. ZGEN 100001580 REF 1058012-522-COT25</t>
  </si>
  <si>
    <t>ZOPICLONA 7,5 MG CM</t>
  </si>
  <si>
    <t>1058012-522-COT25</t>
  </si>
  <si>
    <t>EL HCM REQUIERE ZOPICLONA 7,5 MG CM. INDICAR FECHA DE ENTREGA EN BODEGA HCM, FACTOR EMPAQUE, FECHA VCTO, ADJUNTAR FICHA TÉCNICA Y/O REGISTRO ISP, TIPO DE TRASLADO. POSTULAR SOLO SI CUENTA CON STOCK PARA DESPACHO INMEDIATO. COMPRA SUJETA A MULTA DE NO RESPETAR FECHA ESTIMADA DE ENTREGA. SE DESESTIMARÁ OFERTA QUE INDIQUE VALOR REFERENCIAL $1, O QUE SOBREPASE EL VALOR DEL MONTO ESTIMADO O NO CUMPLA CON LOS DIAS Y DOC. SOLICITADOS.</t>
  </si>
  <si>
    <t>JOR. FACTURACION MINIMA $50.000+IVA PARA SANTIAGO Y $75.000+IVA PARA REGIONES, DESPACHO: STGO 24-48 HR REGIONES 72 HR, UNIDAD MIN. COTIZADA, SE AJUSTARÁ A FACTOR DE EMPAQUE, REG.ISP, FACT.ELECTRONICA. STOCK DISPONIBLE PARA ENTREGA INMEDIATA.</t>
  </si>
  <si>
    <t>1058012-298-AG24</t>
  </si>
  <si>
    <t>FALTA CENABAST ENERO / CARVEDILOL 6,25 MG CM REC</t>
  </si>
  <si>
    <t>PEDIDO FALTANTES DISTRIBUCIÓN CENABAST ENERO. ADQUISICIÓN VÍA COMPRA ÁGIL. FLETE CARGO DEL PROVEEDOR. ZGEN 100002004 REF 1058012-78-COT24</t>
  </si>
  <si>
    <t>CARVEDILOL 6,25 MG CM</t>
  </si>
  <si>
    <t>1058012-78-COT24</t>
  </si>
  <si>
    <t>EL HOSPITAL CLÍNICO DE MAGALLANES REQUIERE CARVEDILOL 6,25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</si>
  <si>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(BE)CARVEDILOL 6,25 MG X 30 COMP.REC.. ETHON. CARVEDILOL. REG ISP F-23310. VCTO 01/12/2025 Entrega en 48 horas una vez aceptada la orden de compra. Monto mínimo de compra 50.000 neto Sin costo por despacho. Vigencia de cotización 60 días.</t>
  </si>
  <si>
    <t>1058012-1110-AG24</t>
  </si>
  <si>
    <t>FARMACIA AMBULATORIA MAYO / PROPRANOLOL 10 MG CM</t>
  </si>
  <si>
    <t>PEDIDO FARMACIA AMBULATORIA MAYO. ADQUISICIÓN VÍA COMPRA ÁGIL. FLETE CARGO DEL PROVEEDOR. ZGEN 100001216. REF 1058012-328-COT24.</t>
  </si>
  <si>
    <t>PROPRANOLOL 10 MG CM</t>
  </si>
  <si>
    <t>1058012-328-COT24</t>
  </si>
  <si>
    <t>EL HOSPITAL CLÍNICO DE MAGALLANES REQUIERE PROPRANOLOL 10 MG CM. INDICAR AL COTIZAR: VALOR UNITARIO TOTAL, PRESENTACIÓN (CM), FECHA VCTO, ADJUNTAR FICHA TÉCNICA Y/O REGISTRO ISP, TIPO DE TRASLADO CARGO PROVEEDOR CON DESPACHOS PARCIALIZADOS (ESPECIFICAR, PARA ACORDAR RETIRO CARGO HOSPITAL DE SER NECESARIO), E INDICAR SI CUENTA CON STOCK PARA DESPACHO INMEDIATO. SE DESESTIMARÁ OFERTA QUE INDIQUE VALOR REFERENCIAL $0 o $1, U OMITAN INFORMACIÓN.</t>
  </si>
  <si>
    <t>PROPRANOLOL.BE.COM.10MG.CX20*ENTREGA DE 24 A 48 HORAS, VENCE SUPERIOR A 12 MESES, DESPACHO INCLUIDO EN EL PRECIO, SIN MINIMO DE COMPRA, OFERENTE Ximena Silva/9-57438894/xsilva@adnfarmaceutica.cl</t>
  </si>
  <si>
    <t>1058012-7702-AG25</t>
  </si>
  <si>
    <t>STOCK CRÍTICO FARMACIA AMBULATORIA JUNIO / PROPRANOLOL 10 MG CM</t>
  </si>
  <si>
    <t>PEDIDO STOCK CRÍTICO FARMACIA AMBULATORIA JUNIO. ADQUISICIÓN VÍA COMPRA ÁGIL. DESPACHO 3 DÍAS CARGO DEL PROVEEDOR SEGÚN COTIZACIÓN. ZGEN 100001216. REF 1058012-429-COT25.</t>
  </si>
  <si>
    <t>1058012-429-COT25</t>
  </si>
  <si>
    <t>EL HOSPITAL CLÍNICO DE MAGALLANES REQUIERE AMBRISETAN 10 MG CM. INDICAR AL COTIZAR: VALOR UNITARIO TOTAL, PRESENTACIÓN (CM), FECHA VCTO, ADJUNTAR FICHA TÉCNICA Y/O REGISTRO ISP, TIPO DE TRASLADO Y FECHA ESPECIFICA DE ENTREGA (ESPECIFICAR, PARA ACORDAR RETIRO CARGO HOSPITAL DE SER NECESARIO), E INDICAR SI CUENTA CON STOCK PARA DESPACHO INMEDIATO. SE DECLARARÁ INADMISIBLE OFERTA QUE INDIQUE VALOR REFERENCIAL $0 o $1, QUE OMITAN INFORMACIÓN Y/O DOCUMENTOS SOLICITADOS.</t>
  </si>
  <si>
    <t>PROPRANOLOL.BE.COM.10MG.cx20*ENTREGA DE 24 A 48 HRS, VENCE MAS DE 12 MESES, DESPACHO C/FACTURA, DESPACHO INCLUIDO EN EL PRECIO, SIN MINIMO DE COMPRA,CON POLITICA DE CANJE, OFERENTE Ximena Silva/9-57438894/xsilva@adnfarmaceutica.cl</t>
  </si>
  <si>
    <t>1058012-1973-AG24</t>
  </si>
  <si>
    <t>COMPRA ALTERNATIVA FALTA CENABAST JULIO / AMLODIPINO 5 MG CM</t>
  </si>
  <si>
    <t>COMPRA ALTERNATIVA POR FALTA DE STOCK EN PROVEEDOR OC N° 1058012-1743-SE24. ADQUISICIÓN VÍA COMPRA ÁGIL. FLETE 48 HRS. CARGO DEL PROVEEDOR SEGÚN COTIZACIÓN. ZGEN 100003239. REF 1058012-529-COT24.</t>
  </si>
  <si>
    <t>AMLODIPINO 5 MG CM</t>
  </si>
  <si>
    <t>1058012-529-COT24</t>
  </si>
  <si>
    <t>EL HOSPITAL CLÍNICO DE MAGALLANES REQUIERE AMLODIPINO 5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</si>
  <si>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1058012-610-AG24</t>
  </si>
  <si>
    <t>COMPRA ALTERNATIVA FALTA CENABAST FEBRERO / FLUOXETINA 20 MG CM</t>
  </si>
  <si>
    <t>COMPRA ALTERNATIVA POR FALTA DE STOCK EN PROVEEDOR N° ORDEN 1058012-444-SE24. ADQUISICIÓN VÍA COMPRA ÁGIL. FLETE CARGO DEL PROVEEDOR. REF 1058012-188-COT24.</t>
  </si>
  <si>
    <t>FLUOXETINA 20 MG CM</t>
  </si>
  <si>
    <t>1058012-188-COT24</t>
  </si>
  <si>
    <t>EL HOSPITAL CLÍNICO DE MAGALLANES REQUIERE FLUOXETINA 20 MG CM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</si>
  <si>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(BE)FLUOXETINA 20MG X 20 COMP.. LABORATORIO CHILE. FLUOXETINA. REG ISP F-8411/21. VCTO 09-2026 Entrega máximo 15 dias una vez aceptada la orden de compra. Monto mínimo de compra 100.000 neto Sin costo por despacho. Vigencia de cotización 60 días.</t>
  </si>
  <si>
    <t>1058012-1108-AG24</t>
  </si>
  <si>
    <t>FARMACIA AMBULATORIA MAYO / ISOSORBIDE DINITRATO 10 MG CM</t>
  </si>
  <si>
    <t>PEDIDO FARMACIA AMBULATORIA MAYO. ADQUISICIÓN VÍA COMPRA PÁGIL. FLETE CARGO DEL PROVEEDOR. ZGEN 100000836. REF 1058012-326-COT24.</t>
  </si>
  <si>
    <t>ISOSORBIDE DINITRATO 10 MG CM</t>
  </si>
  <si>
    <t>1058012-326-COT24</t>
  </si>
  <si>
    <t>EL HOSPITAL CLÍNICO DE MAGALLANES REQUIERE ISOSORBIDE DINITRATO 10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INFORMACIÓN.</t>
  </si>
  <si>
    <t>SE ADJUNTA COTIZACION Entrega en 48 horas una vez aceptada la orden de compra. Monto mínimo de compra 50.000 neto Sin costo por despacho. Vigencia de cotización 60 días</t>
  </si>
  <si>
    <t>1058012-2773-AG24</t>
  </si>
  <si>
    <t>COMPRA ALTERNATIVA FARMACIA AMBULATORIA OCTUBRE Y NOVIEMBRE / ISOSORBIDE DINITRATO 10 MG CM</t>
  </si>
  <si>
    <t>COMPRA ALTERNATIVA POR FALTA DE STOCK EN PROVEEDOR OC N° 1058012-2284-SE24 Y OC N° 1058012-2624-SE24. ADQUISICIÓN VÍA COMPRA ÁGIL. FLETE 24 HRS. SEGÚN COTIZACIÓN. ZGEN 100000836. REF 1058012-647-COT24.</t>
  </si>
  <si>
    <t>1058012-647-COT24</t>
  </si>
  <si>
    <t>EL HOSPITAL CLÍNICO DE MAGALLANES REQUIERE ISOSORBIDE DINITRATO 10 MG CM. INDICAR AL COTIZAR: VALOR UNITARIO TOTAL, PRESENTACIÓN (CM), FECHA VCTO, ADJUNTAR FICHA TÉCNICA Y/O REGISTRO ISP, TIPO DE TRASLADO CARGO PROVEEDOR (ESPECIFICAR, PARA ACORDAR RETIRO CARGO HOSPITAL DE SER NECESARIO), E INDICAR SI CUENTA CON STOCK PARA DESPACHO INMEDIATO. SE DESESTIMARÁ OFERTA QUE INDIQUE VALOR REFERENCIAL $0 o $1, U OMITAN INFORMACIÓN Y DOCUMENTOS SOLICITADOS.</t>
  </si>
  <si>
    <t>SE ADJUNTA COTIZACION Entrega en 24 horas una vez aceptada la orden de compra. Sin mínimo de compra. Afecto a políticas de canje. Sin costo por despacho. Vigencia de cotización 60 días.</t>
  </si>
  <si>
    <t>SUM de CantidadItem</t>
  </si>
  <si>
    <t>SUM de MontoNetoItem</t>
  </si>
  <si>
    <t>COUNTA de codigoOC</t>
  </si>
  <si>
    <t>Tabla analitica de ordenes de compra</t>
  </si>
  <si>
    <t>Total sin CENABAST</t>
  </si>
  <si>
    <t>Total sin farmacia ambulatoria</t>
  </si>
  <si>
    <t>Total stock critico + CENABAST</t>
  </si>
  <si>
    <t>Total dosis unitaria + comite farmacia</t>
  </si>
  <si>
    <t>Total farmacia ambulatoria</t>
  </si>
  <si>
    <t>Columna 1</t>
  </si>
  <si>
    <t>Total stock critico</t>
  </si>
  <si>
    <t>Total CENABAST</t>
  </si>
  <si>
    <t>Total dosis unitaria</t>
  </si>
  <si>
    <t>Total comité farmacia</t>
  </si>
  <si>
    <t>Total controlados</t>
  </si>
  <si>
    <t>Total otros sin clasificar</t>
  </si>
  <si>
    <t>Total ordenes</t>
  </si>
  <si>
    <t>Valor total con impuesto</t>
  </si>
  <si>
    <t>Porcentaje de valor total</t>
  </si>
  <si>
    <t>Porcentaje acumulado</t>
  </si>
  <si>
    <t>Cantidad de datos</t>
  </si>
  <si>
    <t>Porcentaje cantidad</t>
  </si>
  <si>
    <t>Cantidad acumulada</t>
  </si>
  <si>
    <t>Porcentaje cantidad acumulada</t>
  </si>
  <si>
    <t>farmacia amnbulatoria estaria gastando mas de 50 millones en 2 años si se suma el stock critico y el total cenabast, voy a hacer una suma tambien considernado solo el area de farmacia ambulatoria, que eran como 70 datos</t>
  </si>
  <si>
    <t>Periodo 2024-2025</t>
  </si>
  <si>
    <t>2024</t>
  </si>
  <si>
    <t>2025</t>
  </si>
  <si>
    <t>Valor total</t>
  </si>
  <si>
    <t>Stock critico</t>
  </si>
  <si>
    <t>CENABAST</t>
  </si>
  <si>
    <t>dosis unitaria</t>
  </si>
  <si>
    <t>farmacia ambulatoria</t>
  </si>
  <si>
    <t>comite farmacia</t>
  </si>
  <si>
    <t>controlados</t>
  </si>
  <si>
    <t>otros sin clasificar</t>
  </si>
  <si>
    <t>Diferencias entre años 2024-2025</t>
  </si>
  <si>
    <t>COUNT de MontoTotalOC</t>
  </si>
  <si>
    <t>SUM de MontoTotalOC</t>
  </si>
  <si>
    <t>Numero de ordenes</t>
  </si>
  <si>
    <t>Suma total</t>
  </si>
  <si>
    <t>Total 3/6/2025</t>
  </si>
  <si>
    <t>Total 5/6/2025</t>
  </si>
  <si>
    <t>Total 13/6/2025</t>
  </si>
  <si>
    <t>Total 17/6/2025</t>
  </si>
  <si>
    <t>Total 18/6/2025</t>
  </si>
  <si>
    <t>Total 19/6/2025</t>
  </si>
  <si>
    <t>Total 26/6/2025</t>
  </si>
  <si>
    <t>Total 27/6/2025</t>
  </si>
  <si>
    <t>Resumen 2024</t>
  </si>
  <si>
    <t>Columna 2</t>
  </si>
  <si>
    <t>Columna 3</t>
  </si>
  <si>
    <t>Columna 4</t>
  </si>
  <si>
    <t>Columna 5</t>
  </si>
  <si>
    <t>Columna 6</t>
  </si>
  <si>
    <t>Columna 7</t>
  </si>
  <si>
    <t>Columna 8</t>
  </si>
  <si>
    <t>Columna 9</t>
  </si>
  <si>
    <t>Columna 10</t>
  </si>
  <si>
    <t>Columna 11</t>
  </si>
  <si>
    <t>Columna 12</t>
  </si>
  <si>
    <t>Columna 13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</si>
  <si>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</si>
  <si>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</si>
  <si>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</si>
  <si>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</si>
  <si>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</si>
  <si>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</si>
  <si>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</si>
  <si>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</si>
  <si>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</si>
  <si>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</si>
  <si>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</si>
  <si>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</si>
  <si>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Cantidad ordenes</t>
  </si>
  <si>
    <t>Porcentaje ordenes</t>
  </si>
  <si>
    <t>Resumen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</si>
</sst>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[$$]#,##0"/>
    <numFmt numFmtId="166" formatCode="###000"/>
    <numFmt numFmtId="167" formatCode="###0"/>
    <numFmt numFmtId="168" formatCode="mmmm&quot;/&quot;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3.0"/>
      <color theme="1"/>
      <name val="Arial"/>
      <scheme val="minor"/>
    </font>
    <font>
      <b/>
      <color theme="1"/>
      <name val="Arial"/>
      <scheme val="minor"/>
    </font>
    <font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3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49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1" numFmtId="10" xfId="0" applyAlignment="1" applyBorder="1" applyFont="1" applyNumberFormat="1">
      <alignment shrinkToFit="0" vertical="center" wrapText="0"/>
    </xf>
    <xf borderId="1" fillId="0" fontId="1" numFmtId="10" xfId="0" applyAlignment="1" applyBorder="1" applyFont="1" applyNumberFormat="1">
      <alignment readingOrder="0" shrinkToFit="0" vertical="center" wrapText="0"/>
    </xf>
    <xf borderId="0" fillId="0" fontId="1" numFmtId="10" xfId="0" applyFont="1" applyNumberFormat="1"/>
    <xf borderId="1" fillId="0" fontId="1" numFmtId="0" xfId="0" applyAlignment="1" applyBorder="1" applyFont="1">
      <alignment shrinkToFit="0" vertical="center" wrapText="0"/>
    </xf>
    <xf borderId="1" fillId="0" fontId="1" numFmtId="3" xfId="0" applyAlignment="1" applyBorder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8" xfId="0" applyFont="1" applyNumberFormat="1"/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8" xfId="0" applyFont="1" applyNumberFormat="1"/>
    <xf borderId="0" fillId="0" fontId="1" numFmtId="165" xfId="0" applyFont="1" applyNumberFormat="1"/>
    <xf borderId="0" fillId="0" fontId="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CALCULOS TAB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ULOS TABL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ULOS TABL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ULOS TABLA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ULOS TABLA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LCULOS TABLA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 O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 OC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10 medicamentos con mas alto valor unitario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'medicamentos farmacia'!$A$2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farmacia'!$B$2</c:f>
              <c:numCache/>
            </c:numRef>
          </c:val>
        </c:ser>
        <c:ser>
          <c:idx val="1"/>
          <c:order val="1"/>
          <c:tx>
            <c:strRef>
              <c:f>'medicamentos farmacia'!$A$3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farmacia'!$B$3</c:f>
              <c:numCache/>
            </c:numRef>
          </c:val>
        </c:ser>
        <c:ser>
          <c:idx val="2"/>
          <c:order val="2"/>
          <c:tx>
            <c:strRef>
              <c:f>'medicamentos farmacia'!$A$4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farmacia'!$B$4</c:f>
              <c:numCache/>
            </c:numRef>
          </c:val>
        </c:ser>
        <c:ser>
          <c:idx val="3"/>
          <c:order val="3"/>
          <c:tx>
            <c:strRef>
              <c:f>'medicamentos farmacia'!$A$5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farmacia'!$B$5</c:f>
              <c:numCache/>
            </c:numRef>
          </c:val>
        </c:ser>
        <c:ser>
          <c:idx val="4"/>
          <c:order val="4"/>
          <c:tx>
            <c:strRef>
              <c:f>'medicamentos farmacia'!$A$6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farmacia'!$B$6</c:f>
              <c:numCache/>
            </c:numRef>
          </c:val>
        </c:ser>
        <c:ser>
          <c:idx val="5"/>
          <c:order val="5"/>
          <c:tx>
            <c:strRef>
              <c:f>'medicamentos farmacia'!$A$7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farmacia'!$B$7</c:f>
              <c:numCache/>
            </c:numRef>
          </c:val>
        </c:ser>
        <c:ser>
          <c:idx val="6"/>
          <c:order val="6"/>
          <c:tx>
            <c:strRef>
              <c:f>'medicamentos farmacia'!$A$8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farmacia'!$B$8</c:f>
              <c:numCache/>
            </c:numRef>
          </c:val>
        </c:ser>
        <c:ser>
          <c:idx val="7"/>
          <c:order val="7"/>
          <c:tx>
            <c:strRef>
              <c:f>'medicamentos farmacia'!$A$9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farmacia'!$B$9</c:f>
              <c:numCache/>
            </c:numRef>
          </c:val>
        </c:ser>
        <c:ser>
          <c:idx val="8"/>
          <c:order val="8"/>
          <c:tx>
            <c:strRef>
              <c:f>'medicamentos farmacia'!$A$10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farmacia'!$B$10</c:f>
              <c:numCache/>
            </c:numRef>
          </c:val>
        </c:ser>
        <c:ser>
          <c:idx val="9"/>
          <c:order val="9"/>
          <c:tx>
            <c:strRef>
              <c:f>'medicamentos farmacia'!$A$11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farmacia'!$B$1</c:f>
            </c:strRef>
          </c:cat>
          <c:val>
            <c:numRef>
              <c:f>'medicamentos farmacia'!$B$11</c:f>
              <c:numCache/>
            </c:numRef>
          </c:val>
        </c:ser>
        <c:axId val="1485475903"/>
        <c:axId val="1551410114"/>
      </c:barChart>
      <c:catAx>
        <c:axId val="1485475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DescripcionItem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410114"/>
      </c:catAx>
      <c:valAx>
        <c:axId val="15514101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MontoNetoItem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4759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10 medicamentos con mayor cantidad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'medicamentos farmacia'!$A$2:$A$11</c:f>
            </c:strRef>
          </c:cat>
          <c:val>
            <c:numRef>
              <c:f>'medicamentos farmacia'!$B$2:$B$11</c:f>
              <c:numCache/>
            </c:numRef>
          </c:val>
        </c:ser>
        <c:axId val="868665021"/>
        <c:axId val="1677587914"/>
      </c:barChart>
      <c:catAx>
        <c:axId val="8686650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DescripcionItem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7587914"/>
      </c:catAx>
      <c:valAx>
        <c:axId val="16775879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CantidadItem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86650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de ordenes and Porcentaje acumulado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'CALCULOS TABLA'!$A$11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'CALCULOS TABLA'!$B$9:$H$9</c:f>
            </c:strRef>
          </c:cat>
          <c:val>
            <c:numRef>
              <c:f>'CALCULOS TABLA'!$B$11:$H$11</c:f>
              <c:numCache/>
            </c:numRef>
          </c:val>
        </c:ser>
        <c:ser>
          <c:idx val="1"/>
          <c:order val="1"/>
          <c:tx>
            <c:strRef>
              <c:f>'CALCULOS TABLA'!$A$12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'CALCULOS TABLA'!$B$9:$H$9</c:f>
            </c:strRef>
          </c:cat>
          <c:val>
            <c:numRef>
              <c:f>'CALCULOS TABLA'!$B$12:$H$12</c:f>
              <c:numCache/>
            </c:numRef>
          </c:val>
        </c:ser>
        <c:axId val="1843246397"/>
        <c:axId val="1230996065"/>
      </c:barChart>
      <c:catAx>
        <c:axId val="1843246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Columna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996065"/>
      </c:catAx>
      <c:valAx>
        <c:axId val="1230996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246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Porcentaje del valor total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'CALCULOS TABLA'!$A$11</c:f>
            </c:strRef>
          </c:tx>
          <c:dPt>
            <c:idx val="0"/>
            <c:spPr>
              <a:solidFill>
                <a:srgbClr val="4285F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'CALCULOS TABLA'!$B$9:$H$9</c:f>
            </c:strRef>
          </c:cat>
          <c:val>
            <c:numRef>
              <c:f>'CALCULOS TABLA'!$B$11:$H$11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'CALCULOS TABLA'!$B$9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'CALCULOS TABLA'!$B$10:$B$12</c:f>
              <c:numCache/>
            </c:numRef>
          </c:val>
        </c:ser>
        <c:ser>
          <c:idx val="1"/>
          <c:order val="1"/>
          <c:tx>
            <c:strRef>
              <c:f>'CALCULOS TABLA'!$C$9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'CALCULOS TABLA'!$C$10:$C$12</c:f>
              <c:numCache/>
            </c:numRef>
          </c:val>
        </c:ser>
        <c:ser>
          <c:idx val="2"/>
          <c:order val="2"/>
          <c:tx>
            <c:strRef>
              <c:f>'CALCULOS TABLA'!$D$9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'CALCULOS TABLA'!$D$10:$D$12</c:f>
              <c:numCache/>
            </c:numRef>
          </c:val>
        </c:ser>
        <c:ser>
          <c:idx val="3"/>
          <c:order val="3"/>
          <c:tx>
            <c:strRef>
              <c:f>'CALCULOS TABLA'!$E$9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'CALCULOS TABLA'!$E$10:$E$12</c:f>
              <c:numCache/>
            </c:numRef>
          </c:val>
        </c:ser>
        <c:ser>
          <c:idx val="4"/>
          <c:order val="4"/>
          <c:tx>
            <c:strRef>
              <c:f>'CALCULOS TABLA'!$F$9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'CALCULOS TABLA'!$F$10:$F$12</c:f>
              <c:numCache/>
            </c:numRef>
          </c:val>
        </c:ser>
        <c:ser>
          <c:idx val="5"/>
          <c:order val="5"/>
          <c:tx>
            <c:strRef>
              <c:f>'CALCULOS TABLA'!$G$9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'CALCULOS TABLA'!$G$10:$G$12</c:f>
              <c:numCache/>
            </c:numRef>
          </c:val>
        </c:ser>
        <c:ser>
          <c:idx val="6"/>
          <c:order val="6"/>
          <c:tx>
            <c:strRef>
              <c:f>'CALCULOS TABLA'!$H$9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'CALCULOS TABLA'!$H$10:$H$12</c:f>
              <c:numCache/>
            </c:numRef>
          </c:val>
        </c:ser>
        <c:overlap val="100"/>
        <c:axId val="917990787"/>
        <c:axId val="1431022611"/>
      </c:barChart>
      <c:catAx>
        <c:axId val="917990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022611"/>
      </c:catAx>
      <c:valAx>
        <c:axId val="1431022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79907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'CALCULOS TABLA'!$L$8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'CALCULOS TABLA'!$L$9:$L$10</c:f>
              <c:numCache/>
            </c:numRef>
          </c:val>
        </c:ser>
        <c:ser>
          <c:idx val="1"/>
          <c:order val="1"/>
          <c:tx>
            <c:strRef>
              <c:f>'CALCULOS TABLA'!$M$8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'CALCULOS TABLA'!$M$9:$M$10</c:f>
              <c:numCache/>
            </c:numRef>
          </c:val>
        </c:ser>
        <c:ser>
          <c:idx val="2"/>
          <c:order val="2"/>
          <c:tx>
            <c:strRef>
              <c:f>'CALCULOS TABLA'!$N$8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'CALCULOS TABLA'!$N$9:$N$10</c:f>
              <c:numCache/>
            </c:numRef>
          </c:val>
        </c:ser>
        <c:ser>
          <c:idx val="3"/>
          <c:order val="3"/>
          <c:tx>
            <c:strRef>
              <c:f>'CALCULOS TABLA'!$O$8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'CALCULOS TABLA'!$O$9:$O$10</c:f>
              <c:numCache/>
            </c:numRef>
          </c:val>
        </c:ser>
        <c:ser>
          <c:idx val="4"/>
          <c:order val="4"/>
          <c:tx>
            <c:strRef>
              <c:f>'CALCULOS TABLA'!$P$8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val>
            <c:numRef>
              <c:f>'CALCULOS TABLA'!$P$9:$P$10</c:f>
              <c:numCache/>
            </c:numRef>
          </c:val>
        </c:ser>
        <c:axId val="2146133044"/>
        <c:axId val="2045606583"/>
      </c:barChart>
      <c:catAx>
        <c:axId val="2146133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606583"/>
      </c:catAx>
      <c:valAx>
        <c:axId val="2045606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133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Diferencias entre 2024-2025 de participacion en el valor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'CALCULOS TABLA'!$A$98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'CALCULOS TABLA'!$B$97:$H$97</c:f>
            </c:strRef>
          </c:cat>
          <c:val>
            <c:numRef>
              <c:f>'CALCULOS TABLA'!$B$98:$H$98</c:f>
              <c:numCache/>
            </c:numRef>
          </c:val>
        </c:ser>
        <c:axId val="1458527963"/>
        <c:axId val="724200005"/>
      </c:barChart>
      <c:catAx>
        <c:axId val="1458527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200005"/>
      </c:catAx>
      <c:valAx>
        <c:axId val="724200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Diferencias entre años 2024-2025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527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 unitario de medicamentos en Farmacia Ambulatoria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TOTALES!$J$1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TOTALES!$I$2:$I$42</c:f>
            </c:strRef>
          </c:cat>
          <c:val>
            <c:numRef>
              <c:f>TOTALES!$J$2:$J$42</c:f>
              <c:numCache/>
            </c:numRef>
          </c:val>
        </c:ser>
        <c:axId val="161815450"/>
        <c:axId val="1130928040"/>
      </c:barChart>
      <c:catAx>
        <c:axId val="1618154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DescripcionItem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928040"/>
      </c:catAx>
      <c:valAx>
        <c:axId val="11309280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MontoNetoItem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154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ordenes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'resumen OC'!$B$7:$M$7</c:f>
            </c:strRef>
          </c:cat>
          <c:val>
            <c:numRef>
              <c:f>'resumen OC'!$B$8:$M$8</c:f>
              <c:numCache/>
            </c:numRef>
          </c:val>
          <c:smooth val="0"/>
        </c:ser>
        <c:axId val="173834701"/>
        <c:axId val="1430869247"/>
      </c:lineChart>
      <c:catAx>
        <c:axId val="173834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869247"/>
      </c:catAx>
      <c:valAx>
        <c:axId val="1430869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ordenes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34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ordenes 2025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'resumen OC'!$A$15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'resumen OC'!$B$14:$M$14</c:f>
            </c:strRef>
          </c:cat>
          <c:val>
            <c:numRef>
              <c:f>'resumen OC'!$B$15:$M$15</c:f>
              <c:numCache/>
            </c:numRef>
          </c:val>
          <c:smooth val="0"/>
        </c:ser>
        <c:axId val="807224453"/>
        <c:axId val="1119431168"/>
      </c:lineChart>
      <c:catAx>
        <c:axId val="807224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431168"/>
      </c:catAx>
      <c:valAx>
        <c:axId val="11194311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Cantidad ordenes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2244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1</xdr:row>
      <xdr:rowOff>133350</xdr:rowOff>
    </xdr:from>
    <xdr:ext cx="9696450" cy="6000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190500</xdr:colOff>
      <xdr:row>31</xdr:row>
      <xdr:rowOff>104775</xdr:rowOff>
    </xdr:from>
    <xdr:ext cx="11382375" cy="5276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1743075</xdr:colOff>
      <xdr:row>19</xdr:row>
      <xdr:rowOff>57150</xdr:rowOff>
    </xdr:from>
    <xdr:ext cx="7610475" cy="4676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2009775</xdr:colOff>
      <xdr:row>19</xdr:row>
      <xdr:rowOff>57150</xdr:rowOff>
    </xdr:from>
    <xdr:ext cx="7610475" cy="4676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1743075</xdr:colOff>
      <xdr:row>42</xdr:row>
      <xdr:rowOff>133350</xdr:rowOff>
    </xdr:from>
    <xdr:ext cx="7610475" cy="4676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123825</xdr:colOff>
      <xdr:row>10</xdr:row>
      <xdr:rowOff>190500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1266825</xdr:colOff>
      <xdr:row>101</xdr:row>
      <xdr:rowOff>47625</xdr:rowOff>
    </xdr:from>
    <xdr:ext cx="7477125" cy="46291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4</xdr:row>
      <xdr:rowOff>9525</xdr:rowOff>
    </xdr:from>
    <xdr:ext cx="9753600" cy="48863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19050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304800</xdr:colOff>
      <xdr:row>17</xdr:row>
      <xdr:rowOff>19050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94" sheet="consolidado"/>
  </cacheSource>
  <cacheFields>
    <cacheField name="codigoOC" numFmtId="0">
      <sharedItems>
        <s v="1058012-6724-AG25"/>
        <s v="1058012-1778-AG24"/>
        <s v="1058012-61-AG24"/>
        <s v="1058012-7475-AG25"/>
        <s v="1058012-7755-AG25"/>
        <s v="1058012-1513-AG24"/>
        <s v="1058012-862-AG24"/>
        <s v="1058012-7375-AG25"/>
        <s v="1058012-4803-AG25"/>
        <s v="1058012-67-AG24"/>
        <s v="1058012-7371-AG25"/>
        <s v="1058012-2929-AG24"/>
        <s v="1058012-3013-AG24"/>
        <s v="1058012-7820-AG25"/>
        <s v="1058012-845-AG24"/>
        <s v="1058012-7670-AG25"/>
        <s v="1058012-1806-AG24"/>
        <s v="1058012-1651-AG24"/>
        <s v="1058012-7391-AG25"/>
        <s v="1058012-7390-AG25"/>
        <s v="1058012-1512-AG24"/>
        <s v="1058012-6874-AG25"/>
        <s v="1058012-7452-AG25"/>
        <s v="1058012-7481-AG25"/>
        <s v="1058012-3977-AG23"/>
        <s v="1058012-7412-AG25"/>
        <s v="1058012-6888-AG25"/>
        <s v="1058012-7861-AG25"/>
        <s v="1058012-8222-AG25"/>
        <s v="1058012-6779-AG25"/>
        <s v="1058012-7012-AG25"/>
        <s v="1058012-4493-AG25"/>
        <s v="1058012-4622-AG25"/>
        <s v="1058012-4686-AG25"/>
        <s v="1058012-7676-AG25"/>
        <s v="1058012-7672-AG25"/>
        <s v="1058012-1372-AG24"/>
        <s v="1058012-6777-AG25"/>
        <s v="1058012-4130-AG25"/>
        <s v="1057402-22170-AG25"/>
        <s v="1058012-6781-AG25"/>
        <s v="1058012-7751-AG25"/>
        <s v="1058012-429-AG24"/>
        <s v="1058012-370-AG24"/>
        <s v="1058012-1824-AG24"/>
        <s v="1058012-2089-AG24"/>
        <s v="1058012-2875-AG24"/>
        <s v="1057402-6386-AG24"/>
        <s v="1058012-1537-AG24"/>
        <s v="1058012-2828-AG24"/>
        <s v="1058012-96-AG25"/>
        <s v="1058012-1243-AG24"/>
        <s v="1057402-5711-AG24"/>
        <s v="1058012-7821-AG25"/>
        <s v="1058012-8344-AG25"/>
        <s v="1058012-2996-AG24"/>
        <s v="1058012-2049-AG24"/>
        <s v="1058012-881-AG24"/>
        <s v="1058012-2219-AG24"/>
        <s v="1058012-7476-AG25"/>
        <s v="1057402-9103-AG24"/>
        <s v="1058012-1706-AG24"/>
        <s v="1058012-2581-AG24"/>
        <s v="1058012-423-AG24"/>
        <s v="1058012-6753-AG25"/>
        <s v="1057402-3005-AG24"/>
        <s v="1058012-4840-AG25"/>
        <s v="1057402-14950-AG25"/>
        <s v="1057402-26315-AG25"/>
        <s v="1058012-7163-AG25"/>
        <s v="1058012-631-AG24"/>
        <s v="1058012-7700-AG25"/>
        <s v="1058012-4605-AG25"/>
        <s v="1057402-938-AG24"/>
        <s v="1058012-7754-AG25"/>
        <s v="1058012-7844-AG25"/>
        <s v="1058012-1127-AG24"/>
        <s v="1058012-6776-AG25"/>
        <s v="1058012-7010-AG25"/>
        <s v="1058012-1111-AG24"/>
        <s v="1058012-6769-AG25"/>
        <s v="1058012-7372-AG25"/>
        <s v="1058012-2995-AG24"/>
        <s v="1058012-1772-AG24"/>
        <s v="1058012-7747-AG25"/>
        <s v="1057402-948-AG24"/>
        <s v="1058012-7543-AG25"/>
        <s v="1058012-587-AG24"/>
        <s v="1058012-103-AG25"/>
        <s v="1058012-7470-AG25"/>
        <s v="1058012-1256-AG24"/>
        <s v="1058012-1504-AG24"/>
        <s v="1057402-1835-AG24"/>
        <s v="1057402-5623-AG24"/>
        <s v="1058012-1434-AG24"/>
        <s v="1058012-6903-AG25"/>
        <s v="1058012-1124-AG24"/>
        <s v="1058012-611-AG24"/>
        <s v="1058012-6780-AG25"/>
        <s v="1058012-6768-AG25"/>
        <s v="1058012-1949-AG24"/>
        <s v="1058012-1781-AG24"/>
        <s v="1058012-4696-AG25"/>
        <s v="1058012-1162-AG24"/>
        <s v="1057402-4352-AG24"/>
        <s v="1057402-1213-AG24"/>
        <s v="1058012-4628-AG25"/>
        <s v="1058012-6798-AG25"/>
        <s v="1058012-8335-AG25"/>
        <s v="1058012-4756-AG25"/>
        <s v="1058012-8336-AG25"/>
        <s v="1058012-6964-AG25"/>
        <s v="1058012-1777-AG24"/>
        <s v="1058012-4755-AG25"/>
        <s v="1058012-1774-AG24"/>
        <s v="1058012-101-AG25"/>
        <s v="1058012-1775-AG24"/>
        <s v="1058012-6756-AG25"/>
        <s v="1058012-1539-AG24"/>
        <s v="1058012-2767-AG24"/>
        <s v="1058012-4595-AG25"/>
        <s v="1058012-1776-AG24"/>
        <s v="1058012-6754-AG25"/>
        <s v="1058012-7267-AG25"/>
        <s v="1058012-424-AG24"/>
        <s v="1058012-7472-AG25"/>
        <s v="1058012-1107-AG24"/>
        <s v="1058012-338-AG24"/>
        <s v="1058012-1109-AG24"/>
        <s v="1058012-1514-AG24"/>
        <s v="1058012-116-AG24"/>
        <s v="1058012-1794-AG24"/>
        <s v="1058012-102-AG25"/>
        <s v="1058012-1117-AG24"/>
        <s v="1058012-2931-AG24"/>
        <s v="1058012-7473-AG25"/>
        <s v="1058012-7474-AG25"/>
        <s v="1058012-62-AG24"/>
        <s v="1058012-4371-AG25"/>
        <s v="1058012-1125-AG24"/>
        <s v="1058012-7931-AG25"/>
        <s v="1058012-7547-AG25"/>
        <s v="1058012-6757-AG25"/>
        <s v="1058012-8011-AG25"/>
        <s v="1058012-8333-AG25"/>
        <s v="1058012-774-AG24"/>
        <s v="1058012-7459-AG25"/>
        <s v="1058012-1936-AG24"/>
        <s v="1058012-7071-AG25"/>
        <s v="1058012-7374-AG25"/>
        <s v="1058012-574-AG24"/>
        <s v="1058012-1795-AG24"/>
        <s v="1058012-6744-AG25"/>
        <s v="1058012-2760-AG24"/>
        <s v="1057402-22060-AG25"/>
        <s v="1058012-7823-AG25"/>
        <s v="1058012-4598-AG25"/>
        <s v="1058012-7477-AG25"/>
        <s v="1057402-935-AG24"/>
        <s v="1058012-6642-AG25"/>
        <s v="1058012-425-AG24"/>
        <s v="1058012-635-AG24"/>
        <s v="1058012-7824-AG25"/>
        <s v="1058012-1796-AG24"/>
        <s v="1057402-22506-AG25"/>
        <s v="1058012-7753-AG25"/>
        <s v="1058012-106-AG25"/>
        <s v="1058012-105-AG25"/>
        <s v="1058012-874-AG24"/>
        <s v="1058012-860-AG24"/>
        <s v="1058012-1126-AG24"/>
        <s v="1058012-1664-AG24"/>
        <s v="1058012-1541-AG24"/>
        <s v="1058012-1250-AG24"/>
        <s v="1058012-6904-AG25"/>
        <s v="1058012-2758-AG24"/>
        <s v="1058012-7176-AG25"/>
        <s v="1058012-1788-AG24"/>
        <s v="1058012-1956-AG24"/>
        <s v="1058012-100-AG25"/>
        <s v="1058012-1643-AG24"/>
        <s v="1058012-1972-AG24"/>
        <s v="1058012-4435-AG25"/>
        <s v="1058012-8156-AG25"/>
        <s v="1058012-298-AG24"/>
        <s v="1058012-1110-AG24"/>
        <s v="1058012-7702-AG25"/>
        <s v="1058012-1973-AG24"/>
        <s v="1058012-610-AG24"/>
        <s v="1058012-1108-AG24"/>
        <s v="1058012-2773-AG24"/>
      </sharedItems>
    </cacheField>
    <cacheField name="FechaEnvioOC" numFmtId="164">
      <sharedItems containsSemiMixedTypes="0" containsDate="1" containsString="0">
        <d v="2025-10-04T00:00:00Z"/>
        <d v="2024-07-22T00:00:00Z"/>
        <d v="2024-12-01T00:00:00Z"/>
        <d v="2025-06-17T00:00:00Z"/>
        <d v="2025-07-21T00:00:00Z"/>
        <d v="2024-06-19T00:00:00Z"/>
        <d v="2024-11-04T00:00:00Z"/>
        <d v="2025-10-06T00:00:00Z"/>
        <d v="2025-03-31T00:00:00Z"/>
        <d v="2025-09-06T00:00:00Z"/>
        <d v="2024-10-12T00:00:00Z"/>
        <d v="2024-12-19T00:00:00Z"/>
        <d v="2025-07-24T00:00:00Z"/>
        <d v="2024-09-04T00:00:00Z"/>
        <d v="2025-07-07T00:00:00Z"/>
        <d v="2024-07-26T00:00:00Z"/>
        <d v="2024-01-07T00:00:00Z"/>
        <d v="2024-06-18T00:00:00Z"/>
        <d v="2025-04-24T00:00:00Z"/>
        <d v="2025-12-06T00:00:00Z"/>
        <d v="2025-06-19T00:00:00Z"/>
        <d v="2024-02-01T00:00:00Z"/>
        <d v="2025-11-06T00:00:00Z"/>
        <d v="2025-04-30T00:00:00Z"/>
        <d v="2025-04-08T00:00:00Z"/>
        <d v="2025-02-09T00:00:00Z"/>
        <d v="2025-04-16T00:00:00Z"/>
        <d v="2025-12-05T00:00:00Z"/>
        <d v="2025-04-03T00:00:00Z"/>
        <d v="2025-11-03T00:00:00Z"/>
        <d v="2025-03-20T00:00:00Z"/>
        <d v="2025-09-07T00:00:00Z"/>
        <d v="2025-08-07T00:00:00Z"/>
        <d v="2024-10-06T00:00:00Z"/>
        <d v="2025-01-22T00:00:00Z"/>
        <d v="2025-04-17T00:00:00Z"/>
        <d v="2025-07-18T00:00:00Z"/>
        <d v="2024-02-21T00:00:00Z"/>
        <d v="2024-09-02T00:00:00Z"/>
        <d v="2024-08-29T00:00:00Z"/>
        <d v="2024-09-12T00:00:00Z"/>
        <d v="2024-06-21T00:00:00Z"/>
        <d v="2024-06-25T00:00:00Z"/>
        <d v="2024-11-29T00:00:00Z"/>
        <d v="2025-09-01T00:00:00Z"/>
        <d v="2024-05-28T00:00:00Z"/>
        <d v="2024-07-06T00:00:00Z"/>
        <d v="2025-09-17T00:00:00Z"/>
        <d v="2025-03-01T00:00:00Z"/>
        <d v="2024-08-27T00:00:00Z"/>
        <d v="2024-04-17T00:00:00Z"/>
        <d v="2024-09-13T00:00:00Z"/>
        <d v="2024-11-09T00:00:00Z"/>
        <d v="2024-08-07T00:00:00Z"/>
        <d v="2024-05-11T00:00:00Z"/>
        <d v="2024-02-20T00:00:00Z"/>
        <d v="2025-04-14T00:00:00Z"/>
        <d v="2024-03-25T00:00:00Z"/>
        <d v="2025-01-04T00:00:00Z"/>
        <d v="2025-07-28T00:00:00Z"/>
        <d v="2025-05-28T00:00:00Z"/>
        <d v="2024-03-13T00:00:00Z"/>
        <d v="2025-06-03T00:00:00Z"/>
        <d v="2024-01-30T00:00:00Z"/>
        <d v="2025-07-29T00:00:00Z"/>
        <d v="2024-05-14T00:00:00Z"/>
        <d v="2025-09-05T00:00:00Z"/>
        <d v="2024-09-05T00:00:00Z"/>
        <d v="2025-04-15T00:00:00Z"/>
        <d v="2024-12-23T00:00:00Z"/>
        <d v="2025-06-26T00:00:00Z"/>
        <d v="2024-06-03T00:00:00Z"/>
        <d v="2025-04-02T00:00:00Z"/>
        <d v="2024-02-26T00:00:00Z"/>
        <d v="2024-11-06T00:00:00Z"/>
        <d v="2024-05-13T00:00:00Z"/>
        <d v="2024-08-03T00:00:00Z"/>
        <d v="2024-09-08T00:00:00Z"/>
        <d v="2025-03-24T00:00:00Z"/>
        <d v="2024-05-20T00:00:00Z"/>
        <d v="2024-04-29T00:00:00Z"/>
        <d v="2024-04-03T00:00:00Z"/>
        <d v="2025-12-03T00:00:00Z"/>
        <d v="2025-04-22T00:00:00Z"/>
        <d v="2025-09-22T00:00:00Z"/>
        <d v="2025-03-26T00:00:00Z"/>
        <d v="2025-06-05T00:00:00Z"/>
        <d v="2024-07-19T00:00:00Z"/>
        <d v="2025-01-13T00:00:00Z"/>
        <d v="2024-06-28T00:00:00Z"/>
        <d v="2024-11-27T00:00:00Z"/>
        <d v="2025-04-06T00:00:00Z"/>
        <d v="2024-07-02T00:00:00Z"/>
        <d v="2024-01-18T00:00:00Z"/>
        <d v="2024-10-05T00:00:00Z"/>
        <d v="2024-12-12T00:00:00Z"/>
        <d v="2025-02-13T00:00:00Z"/>
        <d v="2025-05-08T00:00:00Z"/>
        <d v="2025-06-27T00:00:00Z"/>
        <d v="2025-08-14T00:00:00Z"/>
        <d v="2025-09-16T00:00:00Z"/>
        <d v="2024-08-04T00:00:00Z"/>
        <d v="2025-06-13T00:00:00Z"/>
        <d v="2024-08-13T00:00:00Z"/>
        <d v="2025-05-23T00:00:00Z"/>
        <d v="2024-11-26T00:00:00Z"/>
        <d v="2025-09-04T00:00:00Z"/>
        <d v="2025-07-25T00:00:00Z"/>
        <d v="2025-06-18T00:00:00Z"/>
        <d v="2025-07-04T00:00:00Z"/>
        <d v="2024-03-14T00:00:00Z"/>
        <d v="2024-04-15T00:00:00Z"/>
        <d v="2024-05-07T00:00:00Z"/>
        <d v="2024-06-27T00:00:00Z"/>
        <d v="2025-05-29T00:00:00Z"/>
        <d v="2024-07-25T00:00:00Z"/>
        <d v="2024-08-08T00:00:00Z"/>
        <d v="2024-08-19T00:00:00Z"/>
        <d v="2025-02-25T00:00:00Z"/>
        <d v="2025-08-28T00:00:00Z"/>
        <d v="2024-11-28T00:00:00Z"/>
      </sharedItems>
    </cacheField>
    <cacheField name="NombreOC" numFmtId="0">
      <sharedItems>
        <s v="URGENTE FARMACIA DOSIS UNITARIA ABRIL / BENRALIZUMAB 30 MG JGA"/>
        <s v="(FAR) COMITÉ FARMACIA JULIO / RILPIVIRINA - CABOTEGRAVIR 900-600 MG FA"/>
        <s v="COMITÉ FARMACIA N°10 AÑO 2023/ RILPIRIVINA - CABOTEGRAVIR 900-600 MG FA"/>
        <s v="FALTA CENABAST FARMACIA AMBULATORIA JUNIO / DENOSUMAB 60 MG ML SOL INY"/>
        <s v="FALTA CENABAST (SUSPENDIDO) JULIO / DENOSUMAB 60 MG ML SOL INY"/>
        <s v="FARMACIA DOSIS UNITARIA/ IBUPROFENO 10 MG/2 ML AMP"/>
        <s v="COMITÉ FARMACIA / CARBOXIMALTOSA DE HIERRO SOLUCIÓN INYECTABLE 500 MG/10 ML, AMP"/>
        <s v="COMPRA ALTERNATIVA (7225) FALTA CENABAST/ RISPERIDONA 37,5 MG FA POLVO LIOFILIZADO"/>
        <s v="FARMACIA AMBULATORIA MARZO / FLUTICASONA 50 MCG INH"/>
        <s v="COMITÉ FARMACIA/ RILUZOL 5 MG/ML JBE"/>
        <s v="FALTA CENABAST / GLUCAGON 1MG LIOF SOL INYECT FAM"/>
        <s v="FARMACIA AMBULATORIA DICIEMBRE / SOFOSBUVIR-VELPATASVIR 400-100 MG CM"/>
        <s v="FARMACIA AMBULATORIA URGENTE DICIEMBRE / SOFOSBUVIR-VELPATASVIR 400-100 MG CM"/>
        <s v="FARMACIA DU JULIO / METILPREDNISOLONA ACETATO 80 MG"/>
        <s v="PEDIDO FARMACIA DOSIS UNITARIA/ METILPREDNISOLONA ACETATO 80 MG"/>
        <s v="FARMACIA AMBULATORIA JULIO / PANCREOLIPASA 5.000 UI GRANULOS"/>
        <s v="(FAR) COMPRA ALTERNATIVA STOCK CRÍTICO FARMACIA AMBULATORIA JUNIO / FLUTICASONA PROPIONATO MICRONIZADO 50 MCG INH ORAL"/>
        <s v="STOCK CRÍTICO FARMACIA AMBULATORIA JUNIO / FLUTICASONA PROPIONATO MICRONIZADO 50 MCG INH ORAL"/>
        <s v="FALTA CENABAST JUNIO/METILPREDNISOLONA 1 G LIOF IV-IM FAM"/>
        <s v="FALTA CENABAST/DESMOPRESINA 100 MCG/1ML FRA 5 A 6 ML"/>
        <s v="COMITÉ FARMACIA MAYO / AMBRISENTÁN 10 MG CM"/>
        <s v="URGENTE FARMACIA AMBULATORIA ABRIL / RH-DORNASA-ALFA SOL. INHALACION 2,5 MG 2,5 ML AMP"/>
        <s v="FALTA CENABAST / ALBUMINA HUMANA 20% SOL. PERF.IV FAM 50ML"/>
        <s v="COMITÉ FARMACIA JUNIO / AMBRISENTÁN 10 MG CM"/>
        <s v="FARMACIA PROG. VIH / LECHE SUSTITUTA DE LECHE MATERNA"/>
        <s v="COMITÉ FARMACIA JUNIO / DEUCRAVACITINIB 6 MG CM"/>
        <s v="FALTA CENABAST MARZO / CICLOFOSFAMIDA 1G FA POLVO LIOFILIZADO"/>
        <s v="FARMACIA AMBULATORIA JULIO-DICIEMBRE / LEVETIRACETAM 100 MG ML"/>
        <s v="FARMACIA AMBULATORIA AGOSTO / CARBAMAZEPINA 100 MG 5 ML SO JBE"/>
        <s v="FARMACIA AMBULATORIA ABRIL / BIFIDOBACTERIUM BB-12 PROBIOTICOS EN GOTAS"/>
        <s v="DERMATOLOGÍA COMITÉ FARMACIA MAYO / IMIQUIMOD 5% CREMA "/>
        <s v="COMPRA ALTERNATIVA FALTA CENABAST FEBRERO / AZITROMICINA 500 MG IV"/>
        <s v="FARMACIA DOSIS UNITARIA NEONATOLOGIA/ BIFIDOBACTERIUM, BB-12 PROBIOTICOS EN GOTAS"/>
        <s v="FALTA CENABAST JULIO (FALTANTE) / CICLOFOSFAMIDA 1G FA POLVO LIOFILIZADO"/>
        <s v="COMPRA ALTERNATIVA FALTA CENABAST MAYO Y JUNIO / LACTULOSA 65-66 1000 ML"/>
        <s v="FARMACIA AMBULATORIA JUNIO / CARBAMAZEPINA 100 MG 5ML SO"/>
        <s v="COMPRA ALTERNATIVA STOCK CRÍTICO FARMACIA DOSIS UNITARIA / AMINOACIDOS 10% PARA ADMINISTRACION I.V."/>
        <s v="COMITÉ FARMACIA ACTA N° 10 2024/ AMINOACIDOS 15%"/>
        <s v="(FAR) SUEROS Y ALCOHOLES ABRIL / ALCOHOL ETILICO 99° ML"/>
        <s v="FARMACIA DOSIS UNITARIA/ COTRIMOXAZOL 80 / 400 FORTE"/>
        <s v="COMPRA ALTERNATIVA FARMACIA AMBULATORIA JULIO / PILOCARPINA 4% SOL OFTALMICA"/>
        <s v="FARMACIA PROG. VIH FEBRERO / COMPLEMENTO NUTRICIONAL NORMAL ADULTO"/>
        <s v="PEDIDO FARMACIA DOSIS UNITARIA/ POLIDOCANOL 2% 2 ML"/>
        <s v="FARMACIA AMBULATORIA JULIO / BUDESONIDA FORMOTEROL FUMARATO 160/4,5 MCG"/>
        <s v="STOCK CRÍTICO FARMACIA AMBULATORIA AGOSTO / BUDESONIDA FORMOTEROL FUMARATO 160/4,5 MCG BUCAL"/>
        <s v="FARMACIA DOSIS UNITARIA DICIEMBRE / KETAMINA 500 MG 10 ML SOL INY FA"/>
        <s v="(FAR) ANTISEPTICOS Y DESINFECTANTES JUNIO / CLORHEXIDINA 5% TINTURA 125 ML"/>
        <s v="COMPRA ALTERNATIVA FALTA CENABAST JUNIO / LEVETIRACETAM 100 MG ML SO"/>
        <s v="FARMACIA DOSIS UNITARIA/ FENOTERTOL BROMI}HIDRATO 0,5 MG + IPATROPIO BROMURO 0,25 MG/ML 1058012-655-COT24"/>
        <s v="COMITÉ FARMACIA/ AMBRISENTÁN 10 MG CM"/>
        <s v="COMITÉ FARMACIA MAYO / CIANOCOBALAMINA 50 MCG 5 ML JBE"/>
        <s v="(FAR) SUEROS Y ALCOHOLES JUNIO / ALCOHOL ETILICO 99° ML"/>
        <s v="FARMACIA DU JULIO / MIVACUORIO 10MG/5ML AM"/>
        <s v="FARMACIA AMBULATORIA SEPTIEMBRE / LUBRICANTE OCULAR QUE CONTENGA CARBOMERO"/>
        <s v="COMITÉ FARMACIA/ OLANZAPINA 10 MG BUCODISPERSABLE"/>
        <s v="COMPRA ALTERNATIVA FALTA CENABAST/ REMIFENTANILO CLORHIDRATO 1 MG FA"/>
        <s v="FALTA CENABAST ABRIL / TIMOLOL MALEATO 0,5% SOLUC OFT"/>
        <s v="COMITÉ FARMACIA N° 6/ BIFIDOBACTERIUM, BB-12 PROBIOTICOS EN GOTAS: 1058012-557-COT24"/>
        <s v="FARMACIA AMBULATORIA JUNIO / LACTOBACILLUS REUTERI PROTECTIS 5 ML"/>
        <s v="(FAR) URGENTE ANTISEPTICOS Y DESINFENCTANTES SEPTIEMBRE / CLORHEXIDINA 2% ACUOSA TOPICA 500 ML"/>
        <s v="FARMACIA DOSIS UNITARIA/ VITAMINAS HIDROSUBLES USO IV INFANTIL - ADULTO (QUE CONTENGA 9 VITAMINAS HIDROSOLUBLES)"/>
        <s v="FARMACIA DOSIS UNITARIA Y CENTRAL DE MEZCLAS/ VITAMINAS HIDROSUBLES USO IV INFANTIL - ADULTO (QUE CONTENGA 9 VITAMINAS HIDROSOLUBLES)"/>
        <s v="FALTA CENABAST FEBRERO / FLUTICASONA 27,5 MCG/DO SUSP. NAS."/>
        <s v="FALTA CENABAST ABRIL/ ZIPRASIDONA 40 MG CP"/>
        <s v="(FAR) SUEROS Y ALCOHOLES MARZO / ALCOHOL ISOPROPILICO LT"/>
        <s v="COMPRA FARMACIA DOSIS UNITARIA/ TETRABENAZINA 25 MG CM"/>
        <s v="(FAR) ANTISEPTICOS Y DESINFENCTANTES FEBRERO / CLORHEXIDINA 2% TINTURA 125 ML"/>
        <s v="(FAR) PEDIATRIA HCM / GLICERINA LIQUIDA USP"/>
        <s v="FARMACIA DOSIS UNITARIA MAYO/ FITOMENADIONA 10 MG ML ADMINISTRACIÓN vía EV"/>
        <s v="COMPRA ALTERNATIVA FALTA CENABAST FEBRERO / VITAMINAS A-C-D FRA GOTAS"/>
        <s v="MEDICAMENTO ONCOLOGÍA Y FARMACIA AMBULATORIA JULIO / GEL VISCOSO COADYUVANTE"/>
        <s v="PEDIDO FARMACIA DOSIS UNITARIA/FITOMENADIONA 10 MG ML ADMINISTRACIÓN vía EV"/>
        <s v="(FAR) ANTIS Y DESINF FEBRERO / CLORHEXIDINA 2% ACUOSA TOPICA 500 ML"/>
        <s v="COMPRA ALTERNATIVA URGENTE STOCK CRÍTICO FARMACIA AMBULATORIA JULIO / ENOXAPARINA SODICA 80 MG 0,8 ML"/>
        <s v="COMPRA ALTERNATIVA FARMACIA DU JULIO / ENOXAPARINA SODICA 80 MG 0,8 ML JGA"/>
        <s v="FARMACIA FALTA PROGRAMA VIH MAYO / BICTEGRAVIR/EMTRICITAVINA/TENOFOVIR ALAFEMNAMIDA 50/200/25 MG CM"/>
        <s v="FARMACIA DOSIS UNITARIA ABRIL / FITOMENADIONA 10 MG ML ADMINISTRACIÓN vía EV"/>
        <s v="PEDIDO FARMACIA DOSIS UNITARIA/ MUPIROCINA 2% TOPICO"/>
        <s v="FARMACIA AMBULATORIA MAYO / FAMPRIDINA 10 MG CM"/>
        <s v="COMPRA ALTERNATIVA FARMACIA AMBULATORIA ABRIL / LEVOCETIRIZINA 5 MG ML GTS"/>
        <s v="FALTA CENABAST/NITROGLICERINA 50MG/10ML SOL. INY. AM/FAM"/>
        <s v="PEDIDO COMITÉ FARMACIA/OLANZAPINA 50 MG"/>
        <s v="STOCK CRÍTICO FARMACIA DOSIS UNITARIA/KETAMINA CLOR, 500 MG/10 ML FA"/>
        <s v="FARMACIA AMBULATORIA JULIO-DICIEMBRE / JALEA LAXANTE"/>
        <s v="(FAR) ANTIS Y DESINF FEBRERO / JABÓN NEUTRO BS 800 ML"/>
        <s v="FALTA CENABAST / SULBACTAM / AMPICILINA 500-1000 MG FAM"/>
        <s v="COMPRA FARMACIA/ TENOFOVIR/LAMIVUDINA/DOLUTEGRAVIR 300/300/50 MG CM"/>
        <s v="FARMACIA AMBULATORIA ENERO / LIDOCAINA 2% GEL ORAL"/>
        <s v="COMPRA ALTERNATIVA (7275) FALTA CENABAST/EPINEFRINA 1MG/1ML AMP"/>
        <s v="COMITÉ FARMACIA MAYO / OLANZAPINA 5 MG CM BUCODISPERSABLES"/>
        <s v="FALTA CENABAST JUNIO / LEVONORGESTREL 0,75 MG CM"/>
        <s v="(FAR) SUEROS Y ALCOHOLES FEBRERO / FORMALINA TAMPONADA"/>
        <s v="FARMACIA DOSIS UNITARIA/ CINTA DE CETONEMIA"/>
        <s v="COMPRA ALTERNATIVA FARMACIA AMBULATORIA JUNIO / LEVOCETIRIZINA 2,5 MG 5 ML"/>
        <s v="URGENTE FARMACIA AMBULATORIA ABRIL / SUPLEMENTO MULTIVITAMINICO C VIT A,D,E,K CM"/>
        <s v="COMPRA ALTERNATIVA FALTA CENABAST ABRIL / VERAPAMILO 5 MG 2 ML AMP"/>
        <s v="COMPRA ALTERNATIVA FALTA CENABAST FEBRERO / DOMPERIDONA FCO 10 MG ML"/>
        <s v="PARTICULAR FARMACIA ABRIL / TENOFOVIR/LAMIVUDINA/DOLUTEGRAVIR 300/300/50 MG CM"/>
        <s v="FALTA CENABAST ABRIL/ TENOFOVIR/LAMIVUDINA/DOLUTEGRAVIR300/300/50 MG CM"/>
        <s v="PEDIDO FARMACIA DOSIS UNITARIA/CLONIDINA CLORHIDRATO 100 MCG CM"/>
        <s v="(FAR) COMPRA ALTERNATIVA FARMACIA AMBULATORIA JULIO / ÁCIDO TRANEXAMICO 500 MG CM"/>
        <s v="COMPRA ALTERNATIVA STOCK CRÍTICO FARMACIA AMBULATORIA MARZO / VITAMINA B1/B6/B12 AMP"/>
        <s v="COMPRA ALTERNATIVA URGENTE COMITÉ FARMACIA MAYO / ÁCIDO TRANEXÁMICO 500 MG CM"/>
        <s v="(FAR) STOCK CRÍTICO SUEROS Y ALCOHOLES ABRIL / ALCOHOL ETILICO 70° FCO 250 ML"/>
        <s v="(FAR) COMITÉ FARMACIA/ CINTA DE CETONEMIA"/>
        <s v="COMPRA ALTERNATIVA FARMACIA AMBULATORIA FEBRERO / TRAMADOL 100 MG ML GTS"/>
        <s v="COMPRA ALTERNATIVA FALTA CENABAST MARZO / ISOTRETINOINA 20 MG CP"/>
        <s v="COMPRA ALTERNATIVA CONTROLADOS/ METILFENIDATO 36 MG CM"/>
        <s v="COMPRA ALTERNATIVA FARMACIA AMBULATORIA MARZO / TRAMADOL 100 MG ML GTS"/>
        <s v="COMPRA ALTERNATIVA CONTROLADOS JULIO - AGOSTO / METILFENIDATO 27 MG CM LP"/>
        <s v="FALTA CENABAST ABRIL/ ISOTRETINOINA 20 MG CAP"/>
        <s v="(FAR) FARMACIA DOSIS UNITARIA JULIO / GLUCOSA 50% 20 ML SOL INY AMP"/>
        <s v="FARMACIA AMBULATORIA MARZO / FLECAINIDA 100 MG CM"/>
        <s v="(FAR) COMPRA ALTERNATIVA CONTROLADOS JULIO / METILFENIDATO 36 MG CM LP"/>
        <s v="FARMACIA AMBULATORIA ENERO / EPLERENONA 50 MG CM"/>
        <s v="(FAR) COMPRA ALTERNATIVA CONTROLADOS JULIO / METILFENIDATO 27 MG CM LP"/>
        <s v="PARTICULAR FARMACIA ABRIL / ESPIRONOLACTONA 100 MG CM"/>
        <s v="COMPRA ALTERNATIVA STOCK CRÍTICO FARMACIA AMBULATORIA JUNIO / CINACALCET 60 MG CM"/>
        <s v="COMPRA ALTERNATIVA FALTA CENABAST OCTUBRE / CINACALCET 60 MG CM"/>
        <s v="COMPRA ALTERNATIVA FARMACIA AMBULATORIA FEBRERO / SOLIFENACINA SUCCINATO 5 MG CM"/>
        <s v="(FAR) COMPRA ALTERNATIVA CONTROLADOS JULIO / METILFENIDATO 18 MG CM LP"/>
        <s v="PARTICULAR FARMACIA ABRIL / AMILORIDA 5 MG CM"/>
        <s v="FALTA CENABAST MAYO/ GLUCOSA 5% MTZ ENVASE SEMIRIGIDO 250 ML."/>
        <s v="FALTA CENABAST FEBRERO / PETIDINA 100 MG 2 ML"/>
        <s v="FARMACIA AMBULATORIA JUNIO / EPLERENONA 50 MG CM"/>
        <s v="FARMACIA AMBULATORIA MAYO / FENOFIBRATO 200 MG CM"/>
        <s v="PEDIDO COMITÉ FARMACIA /CLOBETASOL 0.05 % CREMA"/>
        <s v="FARMACIA AMBULATORIA MAYO / MAGNESIO LACTATO 835 MG CM LP"/>
        <s v="COMITÉ FARMACIA JUNIO / SEVELAMER 800 MG CM"/>
        <s v="COMITÉ FARMACIA N° 10 2023/ PIRFENIDONA 267 MG CP"/>
        <s v="(FAR) FARMACIA AMBULATORIA JULIO / FLECAINIDA ACETATO 100 MG CM"/>
        <s v="FARMACIA AMBULATORIA ENERO / FLECAINIDA 100 MG CM"/>
        <s v="FARMACIA AMBULATORIA MAYO / DEFLAZACORT 6 MG CM"/>
        <s v="COMPRA ALTERNATIVA FARMACIA AMBULATORIA NOVIEMBRE / PROGESTERONA 100 MG CP"/>
        <s v="FARMACIA AMBULATORIA JUNIO / OLANZAPINA BUCODISPERSABLE 5 MG CM"/>
        <s v="FALTA CENABAST FARMACIA AMBULATORIA JUNIO / FLECAINIDA 100 MG CM"/>
        <s v="COMITÉ FARMACIA N° 10 2023/ ALFACETOANALOGOS DE AMINOACIDOS"/>
        <s v="FARMACIA DOSIS UNITARIA FEBRERO / CLONIDINA 0,1 MG CM"/>
        <s v="COMPRA ALTERNATIVA FARMACIA AMBULATORIA ABRIL / PROGESTERONA 100 MG CP"/>
        <s v="FARMACIA AMBULATORIA AGOSTO / VITAMINA B1/B6/B12 CM"/>
        <s v="COMITÉ FARMACIA JUNIO / VITAMINAS COMPLEJO B CON APORTE DE 1000 MCG CIANOCOBALAMINA CP"/>
        <s v="PARTICULAR FARMACIA ABRIL / POTASIO CLORURO 600 MG CM LIB PR"/>
        <s v="COMPRA ALTERNATIVA FARMACIA AMBULATORIA AGOSTO / ESTRADIOL 17 B 1 MG CM"/>
        <s v="COMPRA ALTERNATIVA FARMACIA AMBULATORIA SEPTIEMBRE / ESTRADIOL 17 B 1 MG CM"/>
        <s v="COMPRA ALTERNATIVA FALTA CENABAST MARZO / PARGEVERINA AM 5 MG ML"/>
        <s v="FARMACIA AMBULATORIA JUNIO / SALES REHIDRATANTES 90 MEQ SODIO"/>
        <s v="COMITÉ FARMACIA JULIO / CIANOCOBALAMINA 1000 MCG CP"/>
        <s v="COMPRA ALTERNATIVA FARMACIA AMBULATORIA MAYO / ESTRADIOL 17 B 1 MG CM"/>
        <s v="FALTA CENABAST/ONDANSETRON 2MG/ML SOL. INY. A. O FAM 2ML"/>
        <s v="FARMACIA DOSIS UNITARIA MARZO/ LIDOCAINA HCI 2% 5 ML"/>
        <s v="(FAR) FARMACIA AMBULATORIA JULIO / SALES REHIDRATANTES 90 MEQ SODIO"/>
        <s v="COMPRA ALTERNATIVA FARMACIA AMBULATORIA MARZO / ESTRADIOL 17 B 1 MG CM"/>
        <s v="COMPRA ALTERNATIVA FARMACIA AMBULATORIA NOVIEMBRE / TIAMAZOL 5 MG CM"/>
        <s v="PEDIDO FARMACIA/PILAS N°13 AUDIFONOS (PROT"/>
        <s v="FARMACIA AMBULATORIA JULIO / CALCIO CITRATO TETRAHIDRATADO / VITAMINA D3 ( C ) 313 MG / 400 UI"/>
        <s v="COMPRA ALTERNATIVA FALTA CENABAST FEBRERO / ZOLPIDEM 10 MG CM"/>
        <s v="COMPRA ALTERNATIVA FARMACIA AMBULATORIA JUNIO / ESTRADIOL 17 B 1 MG CM"/>
        <s v="PEDIDO FARMACIA/PILAS DE AUDIFONOS ENERO 2024 - DICIEMBRE 2024 (PROT)"/>
        <s v="FARMACIA AMBULATORIA MARZO / CALCIO CITRATO TETRAHIDRATADO / VITAMINA D3 ( C ) 313 MG / 400 UI"/>
        <s v="FALTA CENABAST FEBRERO / OXITOCINA SINT AM 5 UI"/>
        <s v="COMPRA ALTERNATIVA MARZO FALTA CENABAST/ LEVOFLOXACINO 500 MG CM"/>
        <s v="COMPRA ALTERNATIVA FALTA CENABAST FARMACIA AMBULATORIA JUNIO / LEVETIRACETAM 1000 MG CM"/>
        <s v="(FAR) FARMACIA AMBULATORIA JULIO / VITAMINA B1/B6/B12 CM"/>
        <s v="(FAR) PARTICULAR FARMACIA / CINTA GLICEMIA APARATO AUDIBLE"/>
        <s v="COMPRA ALTERNATIVA URGENTE STOCK CRÍTICO FARMACIA AMBULATORIA JULIO / DILTIAZEM 60 MG CM"/>
        <s v="FARMACIA AMBULATORIA ENERO / CALCIO CITRATO TETRAHIDRATADO / VITAMINA D3 ( C ) 313 MG / 400 UI"/>
        <s v="FARMACIA AMBULATORIA ENERO / VITAMINA B1/B6/B12 CM"/>
        <s v="FALTA CENABAST ABRIL / PRIMIDONA 250 MG CM"/>
        <s v="COMPRA ALTERNATIVA STOCK CRÍTICO CAMPAÑA INVIERNO FARMACIA AMBULATORIA ABRIL / DICLOFENACO 12,5 MG SUP"/>
        <s v="COMITÉ FARMACIA MAYO / CALCIO CITRATO TETRAHIDRATADO - VITAMINA D3 (C) 313 MG 400 UI CP"/>
        <s v="COMPRA ALTERNATIVA FARMACIA AMBULATORIA JULIO / TIAMINA CLORHIDRATO 10 MG CM"/>
        <s v="COMPRA ALTERNATIVA FARMACIA AMBULATORIA JUNIO / TIAMINA CLORHIDRATO 10 MG CM"/>
        <s v="COMITÉ FARMACIA MAYO / ESOMEPRAZOL MAGNÉSICO 20 MG CM"/>
        <s v="COMPRA ALTERNATIVA FALTA CENABAST FEBRERO / CITALOPRAM 20 MG CM"/>
        <s v="COMPRA ALTERNATIVA FARMACIA AMBULATORIA OCTUBRE / POLIVITAMINICO CP"/>
        <s v="COMPRA ALTERNATIVA STOCK CRÍTICO FARMACIA AMBULATORIA MAYO / TRAMADOL 50 MG CM"/>
        <s v="COMPRA ALTERNATIVA STOCK CRÍTICO FARMACIA JULIO / ATORVASTATINA 40 MG CM"/>
        <s v="COMPRA ALTERNATIVA FALTA CENABAST JULIO / ATORVASTATINA 40 MG CM"/>
        <s v="FARMACIA AMBULATORIA ENERO / ATENOLOL 100 MG CM"/>
        <s v="COMPRA ALTERNATIVA FALTA CENABAST ABRIL Y JUNIO / METFORMINA CLORHIDRATO 850 MG CM"/>
        <s v="COMPRA ALTERNATIVA FALTA CENABAST JULIO / AMLODIPINO 10 MG CM"/>
        <s v="COMPRA ALTERNATIVA STOCK CRÍTICO FARMACIA AMBULATORIA FEBRERO / CELECOXIB 200 MG CP"/>
        <s v="COMPRA ALTERNATIVA FALTA CENABAST/ ZOPICLONA 7,5 MG CM"/>
        <s v="FALTA CENABAST ENERO / CARVEDILOL 6,25 MG CM REC"/>
        <s v="FARMACIA AMBULATORIA MAYO / PROPRANOLOL 10 MG CM"/>
        <s v="STOCK CRÍTICO FARMACIA AMBULATORIA JUNIO / PROPRANOLOL 10 MG CM"/>
        <s v="COMPRA ALTERNATIVA FALTA CENABAST JULIO / AMLODIPINO 5 MG CM"/>
        <s v="COMPRA ALTERNATIVA FALTA CENABAST FEBRERO / FLUOXETINA 20 MG CM"/>
        <s v="FARMACIA AMBULATORIA MAYO / ISOSORBIDE DINITRATO 10 MG CM"/>
        <s v="COMPRA ALTERNATIVA FARMACIA AMBULATORIA OCTUBRE Y NOVIEMBRE / ISOSORBIDE DINITRATO 10 MG CM"/>
      </sharedItems>
    </cacheField>
    <cacheField name="DescripcionOC" numFmtId="0">
      <sharedItems>
        <s v="PEDIDO URGENTE FARMACIA DOSIS UNITARIA ABRIL. COMPRA AGIL DESPACHO AEREO CARGO DEL PROVEEDOR. 1058012-191-COT25"/>
        <s v="PEDIDO COMITÉ FARMACIA JULIO. ADQUISICIÓN VÍA COMPRA ÁGIL. FLETE 72 HORAS HÁBILES SEGÚN COTIZACIÓN. REF 1058012-497-COT24."/>
        <s v="PEDIDO COMITÉ FARMACIA N°10 AÑO 2023. COMPRA AGIL. FLETE AEREO CARGO DEL PROVEEDOR 1058012-15-COT24"/>
        <s v="PEDIDO FALTA CENABAST FARMACIA AMBULATORIA JUNIO. ADQUISICIÓN VÍA COMPRA ÁGIL. DESPACHO 7 DÍAS CARGO DEL PROVEEDOR SEGÚN COTIZACIÓN. ZGEN 100004663. REF 1058012-408-COT25."/>
        <s v="PEDIDO FALTA CENABAST (SUSPENDIDO) JULIO. ADQUISICIÓN VÍA COMPRA ÁGIL. DESPACHO 7 DÍAS CARGO DEL PROVEEDOR SEGÚN COTIZACIÓN. ZGEN 100004663. REF 1058012-465-COT25."/>
        <s v="PEDIDO FARMACIA DOSIS UNITARIA.COMPRA AGIL DESPACHO AÉREO, CARGO DEL PROVEEDOR. 1058012-420-COT24"/>
        <s v="PEDIDO COMITÉ FARMACIA. COMPRA ÁGIL DESPACHO AÉREO CARGO DEL PROVEEDOR. 1058012-269-COT24"/>
        <s v="PEDIDO COMPRA ALTERNATIVA(7225). COMPRA AGIL. DESPACHO A CARGO DEL PROVEEDOR. 1058012-380-COT25"/>
        <s v="PEDIDO FARMACIA AMBULATORIA MARZO. ADQUISICIÓN VÍA COMPRA ÁGIL. DESPACHO 48 HRS. SEGÚN COTIZACIÓN. REF 1058012-161-COT25."/>
        <s v="PEDIDO COMITÉ FARMACIA. COMPRA AGIL. FLETE CARGO DEL PROVEEDOR. COORDINAR CON RODRIGO BARRIA AL 61-2293466 1058012-20-COT24"/>
        <s v="PEDIDO FALTA CENABAST. COMPRA AGIL. DESPACHO A CARGO DEL PROVEEDOR. 1058012-372-COT25"/>
        <s v="PEDIDO FARMACIA AMBULATORIA DICIEMBRE. ADQUISICIÓN VÍA COMPRA ÁGIL. FLETE 3 DÍAS HÁBILES CARGO DEL PROVEEDOR. REF 1058012-671-COT24."/>
        <s v="PEDIDO FARMACIA AMBULATORIA URGENTE DICIEMBRE . COMPRA AGIL DESPACHO AÉREO CARGO DEL PROVEEDOR. 1058012-684-COT24"/>
        <s v="FARMACIA DU JULIO ADQUISICION A TRAVES DE COMPRA AGIL DESPACHO 24 A 48 HORAS CARGO DEL PROVEEDOR 100001027 REF: 1058012-459-COT25"/>
        <s v="PEDIDO F. DOSIS UNITARIA. COMPRA AGIL DESPACHO AÉREO CARGO DEL PROVEEDOR. 1058012-262-COT24 100001027"/>
        <s v="PEDIDO FARMACIA AMBULATORIA JULIO. ADQUISICIÓN VÍA COMPRA ÁGIL. DESPACHO 3 DÍAS CARGO DEL PROVEEDOR SEGÚN COTIZACIÓN. REF 1058012-447-COT25."/>
        <s v="COMPRA ALTERNATIVA POR FALTA DE STOCK EN PROVEEDOR OC N° 1058012-1651-AG24. FLETE 3 DÍAS SEGÚN COTIZACIÓN. REF 1058012-506-COT24."/>
        <s v="PEDIDO STOCK CRÍTICO FARMACIA AMBULATORIA JUNIO. ADQUISICIÓN VÍA COMPRA ÁGIL. FLETE 48 HRS. SEGÚN COTIZACIÓN. REF 1058012-457-COT24"/>
        <s v="PEDIDO FALTA CENABAST JUNIO. COMPRA ÁGIL. DESPACHO A CARGO DEL PROVEEDOR. 1058012-374-COT25"/>
        <s v="PEDIDO FALTA CENABAST. COMPRA ÁGIL. DESPACHO A CARGO DEL PROVEEDOR. 1058012-370-COT25"/>
        <s v="PEDIDO COMITÉ FARMACIA MAYO. ADQUISICIÓN VÍA COMPRA ÁGIL. FLETE 3 DÍA HÁBILES SEGÚN COTIZACIÓN. REF 1058012-370-COT24. COMITÉ FARMACIA N°4 DEL 29-04-2024."/>
        <s v="PEDIDO URGENTE FARMACIA AMBULATORIA ABRIL. ADQUISICIÓN VÍA COMPRA ÁGIL. DESPACHO 3 A 5 DÍAS CARGO DEL PROVEEDOR SEGÚN COTIZACIÓN REF 1058012-239-COT25."/>
        <s v="PEDIDO FALTAS CENABAST JUNIO. COMPRA AGIL. DESPACHO A CARGO DEL PROVEEDOR. 1058012-397-COT25"/>
        <s v="PEDIDO COMITÉ FARMACIA JUNIO. ADQUISICIÓN VÍA COMPRA ÁGIL. DESPACHO 72 HRS CARGO DEL PROVEEDOR SEGÚN COTIZACIÓN. ZGEN 100003751. REF 1058012-428-COT25."/>
        <s v="PEDIDO FARMACIA [PROGR. VIH]. ADQUISIÓN VÍA COMPRA ÁGIL. FLETE CARGO DEL PROVEEDOR. REF 1058012-766-COT23"/>
        <s v="PEDIDO COMITÉ FARMACIA JUNIO. ADQUISICIÓN VÍA COMPRA ÁGIL. DESPACHO 3 DÍAS CARGO DEL PROVEEDOR SEGÚN COTIZACIÓN. REF 1058012-398-COT25."/>
        <s v="PEDIDO FALTA CENABAST MARZO SIN RECEPCION. COMPRA AGIL DESPACHO 2 DIAS CARGO DEL PROVEEDOR. (DE ACUERDO A LO OFERTADO) 1058012-235-COT25"/>
        <s v="PEDIDO FARMACIA AMBULATORIA JULIO-DICIEMBRE. ADQUISICIÓN VÍA COMPRA ÁGIL. DESPACHO 72 HORAS HÁBILES CARGO DEL PROVEEDOR SEGÚN COTIZACIÓN. REF 1058012-494-COT25."/>
        <s v="PEDIDO FARMACIA AMBULATORIA AGOSTO. REF 1058012-533-COT25. DESPACHO 72 HORAS CARGO DEL PROVEEDOR SEGÚN COTIZACIÓN. ZGEN 100005816."/>
        <s v="PEDIDO FARMACIA AMBULATORIA ABRIL. ADQUISICIÓN VÍA COMPRA ÁGIL. DESPACHO 72 HRS CARGO DEL PROVEEDOR SEGÚN COTIZACIÓN. REF 1058012-220-COT25."/>
        <s v="PEDIDO DERMATOLOGÍA COMITÉ FARMACIA MAYO. ADQUISICIÓN VÍA COMPRA ÁGIL. DESPACHO 7 DÍAS CARGO DEL PROVEEDOR SEGÚN COTIZACIÓN. REF 1058012-296-COT25."/>
        <s v="COMPRA ALTERNATIVA POR FALTA DE STOCK EN OC N° 1058012-4414-SE25. ADQUISICIÓN VÍA COMPRA ÁGIL. DESPACHO 3 DÍAS SEGÚN COTIZACIÓN. ZGEN 100004661. REF 1058012-119-COT25."/>
        <s v="PEDIDO FARMACIA DOSIS UNITARIA NEONATOLOGIA. COMPRA AGIL DESPACHO, CARGO DEL PROVEEDOR. 1058012-135-COT25"/>
        <s v="PEDIDO FALTA DISTRIBUCIÓN CENABAST MARZO. ADQUISICIÓN VÍA COMPRA ÁGIL. DESPACH0O 24 A 48 HRS. SEGÚN COTIZACIÓN. ZGEN 100000371. REF 1058012-146-COT25."/>
        <s v="PEDIDO FALTA CENABAST JULIO (FALTANTE). ADQUISICIÓN VÍA COMPRA ÁGIL. DESPACHO 3 DÍAS CARGO DEL PROVEEDOR SEGÚN COTIZACIÓN. ZGEN 100000371. REF 1058012-437-COT25."/>
        <s v="COMPRA ALTERNATIVA POR FALTA DE STOCK EN PROVEEDOR OC N° 1058012-7047-SE25 Y OC N° 1058012-7423-SE25. ADQUISICIÓN VÍA COMPRA ÁGIL. DESPACHO 7 DÍAS CARGO DEL PROVEEDOR SEGÚN COTIZACIÓN. ZGEN 100000893. REF 1058012-452-COT25."/>
        <s v="PEDIDO FARMACIA AMBULATORIA JUNIO. ADQUISICIÓN VÍA COMPRA ÁGIL. FLETE CARGO DEL PROVEEDOR. ZGEN 100005816. REF 1058012-402-COT24."/>
        <s v="COMPRA ALTERNATIVA STOCK CRÍTICO FARMACIA DOSIS UNITARIA EN PROVEEDOR DE N° ORDEN 1058012-6645-SE25. ADQUISICIÓN VÍA COMPRA ÁGIL. TRASLADO AEREO CARGO DEL PROVEEDOR ZGEN 100000114 REF 1058012-204-COT25"/>
        <s v="PEDIDO COMITÉ FARMACIA ACTA N° 10 2024. COMPRA AGIL DESPACHO AEREO CARGO DEL PROVEEDOR. 1058012-31-COT25"/>
        <s v="PEDIDO (FAR) SUEROS Y ALCOHOLES ABRIL. ADQUISICIÓN VÍA COMPRA ÁGIL. DESPACHO TERRESTRE CARGO DEL PROVEEDOR SEGÚN COTIZACIÓN. REF 1057402-478-COT25."/>
        <s v="PEDIDO FARMACIA DOSIS UNITARIA. COMPRA AGIL DESPACHO CARGO DEL PROVEEDOR. 1058012-208-COT25"/>
        <s v="COMPRA ALTERNATIVA POR FALTA DE STOCK EN PROVEEDOR OC: 1058012-7646-SE25. ADQUISICION A TRAVES DE COMPRA AGIL. DESPACHO DE 24 A 48 HORAS CARGO DEL PROVEEDOR. REEF 1058012-469-COT25 100001174"/>
        <s v="PEDIDO FARMACIA [PROG. VIH] FEBRERO. ADQUISICIÓN VÍA COMPRA ÁGIL. FLETE NCARGO DEL PROVEEDOR. REF 1058012-150-COT24."/>
        <s v="PEDIDO FARMACIA DOSIS UNITARIA. COMPRA AGIL DESPACHO CARGO DEL PROVEEDOR. 1058012-106-COT24"/>
        <s v="PEDIDO FARMACIA AMBULATORIA JULIO. ADQUISICÓN VÍA COMPRA ÁGIL. FLETE 2 A 3 DÍAS HÁBILES SEGÚN COTIZACIÓN. REF 1058012-511-COT24."/>
        <s v="PEDIDO STOCK CRÍTICO FARMACIA AMBULATORIA AGOSTO. ADQUISICIÓN VÍA COMPRA ÁGIL. FLETE 2 A 3 DÍAS HÁBILES CARGO DEL PROVEEDOR SEGÚN COTIZACIÓN. REF 1058012-543-COT24."/>
        <s v="PEDIDO FARMACIA DOSIS UNITARIA DICIEMBRE. ADQUISICIÓN VÍA COMPRA ÁGIL. FLETE CARGO DEL PROVEEDOR. ZGEN 100000865. REF 1058012-662-COT24."/>
        <s v="PEDIDO ANTISEPTICOS Y DESINFECTANTES JUNIO. ADQUISICIÓN VÍA COMPRA ÁGIL. FLETE 3 A 5 DÍAS HÁBILES SEGÚN COTIZACIÓN. REF 1057402-936-COT24"/>
        <s v="COMPRA ALTERNATIVA POR FALTA DE STOCK EN PROVEEDOR OC N° 1058012-1384-SE24. ADQUISICIÓN VÍA COMPRA ÁGIL. FLETE 2 DÍAS HÁBILES SEGÚN COTIZACIÓN. ZGEN 100002573. REF 1058012-428-COT24."/>
        <s v="PEDIDO FARMACIA DOSIS UNITARIA. COMPRA AGIL (SIN OFERTAS) DESPACHO CARGO DEL PROVEEDOR. 100000627"/>
        <s v="PEDIDO COMITÉ FARMACIA. COMPRA AGIL DESPACHO CARGO DEL PROVEEDOR. 1058012-11-COT25"/>
        <s v="PEDIDO COMITÉ FARMACIA MAYO. ADQUISICIÓN VÍA COMPRA ÁGIL. FLETE CARGO DEL PROVEEDOR. DESPACHO PARCIALIZADO, 30 FRASCOS AL ACEPTAR OC, 30 FRASCOS RESTANTES SERAN COORDINADAS POR D. RODRIGO BARRIA (CORREO rodrigo.barria.hcm@gmail.com - FONO 61-2293466.) REF"/>
        <s v="PEDIDO SUEROS Y ALCOHOLES JUNIO. ADQUISICIÓN VÍA COMPRA ÁGIL. FLETE CARGO DEL PROVEEDOR. REF 1057402-857-COT24."/>
        <s v="FARMACIA DU JULIO ADQUISICION A TRAVES DE COMPRA AGIL DESPACHO 24 A 48 HORAS CARGO DEL PROVEEDOR REF: 1058012-460-COT25"/>
        <s v="PEDIDO FARMACIA AMBULATORIA SEPTIEMBRE. ADQUISICIÓN VÍA COMPRA ÁGIL. DESPACHO E DÍAS CARGO DEL PROVEEDOR. REF 1058012-553-COT25."/>
        <s v="PEDIDO COMITÉ FARMACIA. COMPRA AGIL DESPACHO CARGO DEL PROVEEDOR. 1058012-674-COT24"/>
        <s v="COMPRA ALTERNATIVA POR FALTA DE STOCK EN PROVEEDOR DE N° ORDEN 1058012-1955-SE24. ADQUISICIÓN VÍA COMPRA ÁGIL. TRASLADO CARGO AL PROVEEDOR ZGEN (100001243) REF 1058012-538-COT24"/>
        <s v="PEDIDO FALTA DISTRIBUCIÓN CENABAST ABRIL. ADQUISICIÓN VÍA COMPRA ÁGIL. FLETE CARGO DEL PROVEEDOR. REF 1058012-278-COT24."/>
        <s v="PEDIDO COMITE FARMACIA N° 6 F. DOSIS UNITARIA. COMPRA AGIL DESPACHO TERRESTRE, CARGO DEL PROVEEDOR."/>
        <s v="PEDIDO FARMACIA AMBULATORIA JUNIO. ADQUISICIÓN VÍA COMPRA ÁGIL. DESPACHO 10 DÍAS CARGO DEL PROVEEDOR SEGÚN COTIZACIÓN. NOTA: SE PUEDE COORDINAR RETIRO DE LA CARGA. REF 1058012-390-COT25."/>
        <s v="PEDIDO URGENTE ANTISEPTICOS Y DESINFENCTANTES SEPTIEMBRE. ADQUISICIÓN VÍA COMPRA ÁGIL. FLETE 12 A 15 DÍAS SEGÚN COTIZACIÓN. REF 1057402-1234-COT24."/>
        <s v="PEDIDO FARMACIA DOSIS UNITARIA. COMPRA AGIL DESPACHO AÉREO CARGO DEL PROVEEDOR. 1058012-487-COT24"/>
        <s v="PEDIDO FARMACIA DOSIS UNITARIA Y CENTRAL DE MEZCLAS. ID COMPRA AGIL DESPACHO AÉREO CARGO DEL PROVEEDOR. 1058012-613-COT24"/>
        <s v="PEDIDO FALTA DISTRIBUCIÓN CENABAST FEBRERO. ADQUISICIÓN VÍA COMPRA ÁGIL. FLETE EXPRESO CARGO DEL PROVEEDOR. ZGEN 100004353. REF 1058012-144-COT24."/>
        <s v="PEDIDO FALTA CENABAST ABRIL. COMPRA AGIL DESPACHO CARGO DEL PROVEEDOR. 100001579 1058012-203-COT25"/>
        <s v="PEDIDO SUEROS Y ALCOHOLES MARZO. ADQUISICIÓN VÍA COMPRA ÁGIL. FLETE CARGO DEL PROVEEDOR. REF 1057402-462-COT24."/>
        <s v="PEDIDO COMPRA FARMACIA DOSIS UNITARIA. COMPRA AGIL DESPACHO AEREO CARGO DEL PROVEEDOR. 1058012-166-COT25 100004940"/>
        <s v="PEDIDO (FAR) ANTISEPTICOS Y DESINFENCTANTES FEBRERO. ADQUISICIÓN VÍA COMPRA ÁGIL. DESPACHO 15 DÍAS SEGÚN COTIZACIÓN. REF 1057402-295-COT25."/>
        <s v="PEDIDO (FAR) PEDIATRIA HCM ADQUISICION A TRAVES DE COMPRA AGIL DESPACHO 24 A 48 HORAS CARGO DEL PROVEEDOR REF: 1057402-1107-COT25"/>
        <s v="PEDIDO FARMACIA DOSIS UNITARIA MAYO. COMPRA AGIL DESPACHO AEREO CARGO DEL PROVEEDOR. 1058012-326-COT25"/>
        <s v="COMPRA ALTERNATIVA POR FALTA DE STOCK EN PROVEEDOR N° ORDEN 1058012-415-SE24. ADQUISICIÓN VÍA COMPRA ÁGIL. FLETE CARGO DEL PROVEEDOR. ZGEN 100001058. REF 1058012-196-COT24."/>
        <s v="PEDIDO MEDICAMENTO ONCOLOGÍA Y FARMACIA AMBULATORIA JULIO. ADQUISICIÓN VÍA COMPRA ÁGIL. DESPACHO 3 DÍAS CARGO DEL PROVEEDOR SEGÚN COTIZACIÓN. REF 1058012-454-COT25."/>
        <s v="PEDIDO FARMACIA DOSIS UNITARIA. COMPRA AGIL DESPACHO CARGO DEL PROVEEDOR. 1058012-129-COT25"/>
        <s v="PEDIDO ANTIS Y DESINF FEBRERO. ADQUISICIÓN VÍA COMPRA ÁGIL. FLETE CARGO DEL PROVEEDOR. REF 1057402-144-COT24"/>
        <s v="COMPRA ALTERNATIVA POR FALTA DE STOCK EN PROVEEDOR OC N° 1058012-7612-SE25. ADQUISICIÓN VÍA COMPRA ÁGIL. DESPACHO 5 A 7 DÍAS HÁBILES CARGO DEL PROVEEDOR SEGÚN COTIZACIÓN. ZGEN 100000553. REF 1058012-464-COT25."/>
        <s v="COMPRA ALTERNATIVA POR FALTA DE STOCK EN PROVEEDOR OC N° 1058012-7698-SE25. ADQUISICIÓN VÍA COMPRA ÁGIL. DESPACHO 7 DÍAS HÁBILES CARGO DEL PROVEEDOR SEGÚN COTIZACIÓN. ZGEN 100000553. REF 1058012-490-COT25."/>
        <s v="PEDIDO FARMACIA [FALTA PROGRAMA VIH] MAYO. ADQUISICIÓN VÍA COMPRA ÁGIL. FLETE CARGO DEL PROVEEDOR. REF 1058012-351-COT24."/>
        <s v="PEDIDO STOCK CRÍTICO F. DOSIS UNITARIA. COMPRA AGIL DESPACHO CARGO DEL PROVEEDOR. 1058012-210-COT25"/>
        <s v="PEDIDO STOCK CRÍTICO F. DOSIS UNITARIA. COMPRA AGIL DESPACHO CARGO DEL PROVEEDOR. 1058012-286-COT25"/>
        <s v="PEDIDO FARMACIA AMBULATORIA MAYO. ADQUISICIÓN VÍA COMPRA ÁGIL. FLETE CARGO DEL PROVEEDOR. REF 1058012-324-COT24."/>
        <s v="COMPRA ALTERNATIVA POR FALTA DE STOCK EN PROVEEDOR OC N° 1058012-6697-SE25. ADQUISICIÓN VÍA COMPRA ÁGIL. DESPACHO 7 DÍAS CARGO DEL PROVEEDOR SEGÚN COTIZACIÓN. ZGEN 100005295. REF 1058012-216-COT25"/>
        <s v="PEDIDO FRALTA CENABAST. COMPRA AGIL. DESPACHO A CARGO DEL PROVEEDOR. 1058012-375-COT25"/>
        <s v="PEDIDO COMITE FARMACIA. COMPRA AGIL DESPACHO CARGO DEL PROVEEDOR. 1058012-673-COT24"/>
        <s v="PEDIDO STOCK CRÍTICO FARMACIA DOSIS UNITARIA. ADQUISICIÓN VIA COMPRA ÁGIL FLETE A CARGO DEL PROVEEDOR REF 1058012-493-COT24"/>
        <s v="PEDIDO FARMACIA AMBULATORIA JULIO-DICIEMBRE. ADQUISICIÓN VÍA COMPRA ÁGIL. DESPACHO 48 HRS. CARGO DEL PROVEEDOR SEGÚN COTIZACIÓN. REF 1058012-457-COT25."/>
        <s v="PEDIDO ANTIS Y DESINF FEBRERO. ADQUISICIÓN VÍA COMPRA ÁGIL. FLETE CARGO DEL PROVEEDOR. REF 1057402-143-COT24"/>
        <s v="PEDIDO FALTA CENABAST. COMPRA AGIL. DESPACHO A CARGO DEL PROVEEDOR. 1058012-436-COT25"/>
        <s v="PEDIDO STOCK CRÍTICO F. DOSIS UNITARIA. ID 1058012-74-LQ23 DESPACHO 72 HORAS, CARGO DEL PROVEEDOR. 1058012-179-COT24 100005050"/>
        <s v="PEDIDO FARMACIA AMBULATORIA ENERO. ADQUISICIÓN VÍA COMPRA ÁGIL. FLETE 24 A 48 HRS. SEGÚN COTIZACIÓN. REF 1058012-12-COT25."/>
        <s v="PEDIDO FALTAS CENABAST JUNIO. COMPRA ALTERNATIVA. COMPRA ÁGIL. DESPACHO A CARGO DEL PROVEEDOR. 1058012-416-COT25"/>
        <s v="PEDIDO COMITÉ FARMACIA MAYO. ADQUISICIÓN VÍA COMPRA ÁGIL. FLETE CARGO DEL PROVEEDOR. REF 1058012-369-COT24. COMITÉ FARMACIA N°4 DEL 29-04-2024."/>
        <s v="PEDIDO FALTA DISTRIBUCIÓN CENABAST JUNIO. ADQUISICIÓN VÍA COMPRA ÁGIL. FLETE CARGO DEL PROVEEDOR. ZGEN 100001701. REF 1058012-409-COT24."/>
        <s v="PEDIDO SUEROS Y ALCOHOLES FEBRERO. ADQUISICIÓN VÍA COMPRA ÁGIL. FELTE CARGO DEL PROVEEDOR. REF 1057402-288-COT24."/>
        <s v="PEDIDO FARMACIA DOSIS UNITARIA/ CINTA DE CETONEMIA COMPRA AGIL DESPACHO EN 5 DIAS CON CARGO DEL PROVEEDOR 1057402-838-COT24 26218366"/>
        <s v="COMPRA ALTERNATIVA POR FALTA DE STOCK EN PROVEEDOR DE OC N° 1058012-1287-SE24. FLETE CARGO DEL PROVEEDOR. ZGEN 100006094. REF 1058012-404-COT24."/>
        <s v="PEDIDO URGENTE FARMACIA AMBULATORIA ABRIL. ADQUISICIÓN VÍA COMPRA ÁGIL. DESPACHO 3 DÍAS CARGO DEL PROVEEDOR SEGÚN COTIZACIÓN. REF 1058012-257-COT25."/>
        <s v="COMPRA ALTERNATIVA POR FALTA DE STOCK EN PROVEEDOR OC N° 1058012-838-SE24. FLETE CARGO DEL PROVEEDOR. ZGEN 100001564. REF 1058012-348-COT24."/>
        <s v="COMPRA ALTERNATIVA POR FALTA DE STOCK EN PROVEEDOR N° ORDEN 1058012-408-SE24. ADQUISICIÓN VÍA COMPRA ÁGIL. FLETE CARGO DEL PROVEEDOR. REF 1058012-189-COT24. ZGEN 100000521."/>
        <s v="PARTICULAR FARMACIA ABRIL. ADQUISICIÓN VÍA COMPRA ÁGIL. DESPACHO 3 DÍAS CARGO DEL PROVEEDOR SEGÚN COTIZACIÓN. ZGEN 100005050. REF 1058012-219-COT25."/>
        <s v="PEDIDO FALTA CENABAST ABRIL. COMPRA AGIL DESPACHO AEREO CARGO DEL PROVEEDOR. 100005050 1058012-202-COT25"/>
        <s v="PEDIDO FARMACIA DOSIS UNITARIA. COMPRA AGIL DESPACHO CARGO DEL PROVEEDOR. 1058012-525-COT24 100000394"/>
        <s v="COMPRA ALTERNATIVA POR FALTA DE STOCK EN PROVEEDOR OC N° 1058012-1575-SE24. ADQUISICIÓN VÍA COMPRA ÁGIL. FLETE 3 DÍAS SEGÚN COTIZACIÓN. ZGEN 100000028. REF 1058012-489-COT24"/>
        <s v="COMPRA ALTERNATIVA POR FALTA DE STOCK EN OC N° 1058012-4636-SE25. ADQUISICIÓN VÍA COMPRA ÁGIL. DESPACHO 7 DÍAS SEGÚN COTIZACIÓN. REF 1058012-152-COT25."/>
        <s v="COMPRA ALTERNATIVA POR FALTA DE STOCK EN PROVEDOR OC N° 1058012-1153-SE24. ADQUISICIÓN VÍA COMPRA ÁGIL. COMITÉ FARMACIA N°4 AÑO 2024. FLETE CARGO DEL PROVEEDOR. REF 1058012-360-COT24. ZGEN 100000028."/>
        <s v="PEDIDO STOCK CRÍTICO SUEROS Y ALCOHOLES ABRIL. ADQUISICIÓN VÍA COMPRA ÁGIL. FLETE CARGO DEL PROVEEDOR. REF 1057402-663-COT24. ZGEN 100000087."/>
        <s v="PEDIDO COMITÉ FARMACIA. COMPRA AGIL DESPACHO AÉREO CARGO DEL PROVEEDOR. 1057402-175-COT24"/>
        <s v="COMPRA ALTERNATIVA POR FALTA DE STOCK EN OC N° 1058012-4434-AG25. ADQUISICIÓN VÍA COMPRA ÁGIL. DESPACHO 48 HRS. SEGÚN COTIZACIÓN. ZGEN 100001463. REF 1058012-137-COT25."/>
        <s v="COMPRA ALTERNATIVA POR FALTA DE STOCK EN PROVEEDOR OC N° 1058012-6716-AG25. ADQUSICIÓN VÍA COMPRA ÁGIL. DESPACHO 48 A 72 HRS. CARGO DEL PROVEEDOR SEGÚN COTIZACIÓN. REF 1058012-227-COT25."/>
        <s v="COMPRA ALTERNATIVA POR FALTA DE STOCK EN PROVEEDOR DE N° ÓRDENES 1058012-7240-SE257711 Y 7860 ADQUISICIÓN VÍA COMPRA ÁGIL. TRASLADO CARGO A CONFIRMAR CON EL SR. RODRIGO BARRÍA AL CORREO rodrigo.barria.b@redsalud.gov.cl Ó AL FONO 61 -2293466. ZGEN (1000061"/>
        <s v="COMPRA ALTERNATIVA POR FALTA DE STOCK EN OC N° 1058012-4675-SE25. ADQUISICIÓN VÍA COMPRA ÁGIL. DESPACHO 24 A 48 HRS. SEGÚN COTIZACIÓN. ZGEN 100001463. REF 1058012-157-COT25."/>
        <s v="COMPRA ALTERNATIVA POR FALTA DE STOCK EN PROVEEDOR DE N° ORDEN 1058012-7709-SE25 7859-SE25. ADQUISICIÓN VÍA COMPRA ÁGIL. TRASLADO CARGO A CONFIRMAR CON EL SR. RODRIGO BARRÍA AL CORREO rodrigo.barria.b@redsalud.gov.cl Ó AL FONO 61 -2293466. ZGEN 100006138 "/>
        <s v="PEDIDO FALTA CENABAST ABRIL. COMPRA AGIL DESPACHO CARGO DEL PROVEEDOR. 1058012-212-COT25"/>
        <s v="PEDIDO FARMACIA DOSIS UNITARIA JULIO. ADQUISICIÓN VÍA COMPRA ÁGIL. FLETE 30 A 45 DÍAS SEGÚN COTIZACIÓN. REF 1058012-496-COT24."/>
        <s v="PEDIDO FARMACIA AMBULATORIA MARZO. ADQUISICIÓN VÍA COMPRA ÁGIL. DESPACHO 7 DÍAS SEGÚN COTIZACIÓN. ZGEN 100005331. REF 1058012-154-COT25."/>
        <s v="COMPRA ALTERNATIVA POR FALTA DE STOCK EN PROVEEDOR OC N° 1058012-1536-SE24. ADQUISICIÓN VÍA COMPRA ÁGIL. FLETE 3 DÍAS HÁBILES SEGÚN COTIZACIÓN. ZGEN 100006139. REF 1058012-443-COT24."/>
        <s v="PEDIDO FARMACIA AMBULATORIA ENERO. ADQUISICIÓN VÍA COMPRA ÁGIL. FLETE 7 DÍAS CARGO DEL PROVEEDOR. ZGEN 100005944. REF 1058012-7-COT25."/>
        <s v="COMPRA ALTERNATIVA POR FALTA DE STOCK EN PROVEEDOR OC N° 1058012-1535-SE24. ADQUISICIÓN VÍA COMPRA ÁGIL. FLETE 3 DÍAS HÁBILE SSEGÚN COTIZACIÓN. ZGEN 100006138. REF 1058012-444-COT24."/>
        <s v="PEDIDO PARTICULAR FARMACIA ABRIL. ADQUISICIÓN VÍA COMPRA ÁGIL. DESPACHO 13 A 20 DÍAS POSTERIOR A LA APROBACIÓN DE LOS DOCUMENTOS, CARGO DEL PROVEEDOR SEGÚN COTIZACIÓN. TRATAMIENTO PACIENTE P.D.A. DIAGNOSTICO SINDROME DE BARTTER Y SEGÚN RECETA INSTITUCIONA"/>
        <s v="COMPRA ALTERNATIVA POR FALTA DE STOCK EN PROVEEDOR N° 1058012-1454-SE24. ADQUISICIÓN VÍA COMPRA ÁGIL. FLETE 3 DÍAS SEGÚN COTIZACIÓN. ZGEN 100003459. REF 1058012-436-COT24."/>
        <s v="COMPRA ALTERNATIVA POR FALTA DE STOCK EN PROVEEDOR OC N° 1058012-2476-SE24. ADQUISICIÓN VÍA COMPRA ÁGIL. FLETE 3 DÍAS SEGÚN COTIZACIÓN. ZGEN 100003459. REF 1058012-640-COT24."/>
        <s v="COMPRA ALTERNATIVA POR FALTA DE STOCK EN OC N° 1058012-4364-SE25. ADQUISICIÓN VÍA COMPRA ÁGIL. DESPACHO 7 DÍAS SEGÚN COTIZACIÓN. ZGEN 100006304. REF 1058012-127-COT25."/>
        <s v="COMPRA ALTERNATIVA POR FALTA DE STOCK EN PROVEEDOR OC N° 1058012-1534-SE24. ADQUISICIÓN VÍA COMPRA ÁGIL. FLETE 3 DÍAS HÁBILES SEGÚN COTIZACIÓN. ZGEN 100006137. REF 1058012-445-COT24."/>
        <s v="PEDIDO PARTICULAR FARMACIA ABRIL. ADQUISICIÓN VÍA COMPRA ÁGIL. DESPACHO 13 A 20 DÍAS POSTERIOR A LA APROBACIÓN DE LOS DOCUMENTOS, CARGO DEL PROVEEDOR SEGÚN COTIZACIÓN. TRATAMIENTO PCTE P.D.A. DIAGNOSTICO SINDROME DE BARTTER Y SEGÚN RECETA INSTITUCIONAL N°"/>
        <s v="PEDIDO FALTA CENABAST. ONCOLOGÍA. COMPRA AGIL. DESPACHO AEREO A CARGO DEL PROVEEDOR. 1058012-321-COT25"/>
        <s v="FALTA DISTRIBUCIÓN CENABAST FEBRERO. ADQUISICIÓN VÍA COMPRA ÁGIL. FLETE CARGO DEL PROVEEDOR. REF 1058012-147-COT24."/>
        <s v="PEDIDO FARMACIA AMBULATORIA JUNIO. ADQUISICIÓN VÍA COMPRA ÁGIL. DESPACHO 48 HRS HÁBILES CARGO DEL PROVEEDOR SEGÚN COTIZACIÓN. ZGEN 100005944. REF 1058012-384-COT25."/>
        <s v="PEDIDO FARMACIA AMBULATORIA MAYO. ADQUISICIÓN VÍA COMPRA ÁGIL. FLETE CARGO EL PROVEEDOR. REF 1058012-325-COT24."/>
        <s v="PEDIDO COMITÉ FARMACIA. COMPRA AGIL DESPACHO A CONFIRMAR CON EL PROVEEDOR. 1058012-83-COT24"/>
        <s v="PEDIDO FARMACIA AMBULATORIA MAYO. ADQUISICIÓN VÍA COMPRA ÁGIL. FLETE CARGO DEL PROVEEDOR. REF 1058012-327-COT24."/>
        <s v="PEDIDO COMITÉ FARMACIA JUNIO. ADQUISICIÓN VÍA COMPRA ÁGIL. FLETE 48 HORAS DESDE EMISIÓN DE OC SEGÚN COTIZACIÓN. ZGEN 100003443. REF 1058012-426-COT24."/>
        <s v="PEDIDO COMITÉ FARMACIA N° 10 2023. ID 1058012-74-LQ23 DESPACHO DE 3 A 5 DIAS HABILES, CARGO DEL PROVEEDOR. 1058012-29-COT24"/>
        <s v="PEDIDO FARMACIA AMBULATORIA JULIO. ADQUISICIÓN VÍA COMPRA ÁGIL. FLETE 5 DÍAS SEGÚN COTIZACIÓN. REF 1058012-507-COT24."/>
        <s v="PEDIDO FARMACIA AMBULATORIA ENERO. ADQUISICIÓN VÍA COMPRA ÁGIL. FLETE 3 DÍAS SEGÚN COTIZACIÓN. ZGEN 100005331. REF 1058012-9-COT25."/>
        <s v="PEDIDO FARMACIA AMBULATORIA MAYO. ADQUISICIÓN VÍA COMPRA ÁGIL. FLETE CARGO DEL PROVEEDOR. REF 1058012-323-COT24."/>
        <s v="COMPRA ALTERNATIVA POR FALTA DE STOCK EN PROVEEDOR OC N° 1058012-2772-AG24. ADQUISICIÓN VÍA COMPRA ÁGIL. FLETE 48 HORAS SEGÚN COTIZACIÓN. ZGEN 100003402. REF 1058012-670-COT24."/>
        <s v="PEDIDO FARMACIA AMBULATORIA JUNIO. ADQUISICIÓN VÍA COMPRA ÁGIL. DESPACHO 3 DÍAS CARGO DEL PROVEEDOR SEGÚN COTIZACIÓN. ZGEN 100004891. REF 1058012-395-COT25."/>
        <s v="PEDIDO FALTA CENABAST FARMACIA AMBULATORIA JUNIO. ADQUISICIÓN VÍA COMPRA ÁGIL. DESPACHO 3 DÍAS CARGO DEL PROVEEDOR SEGÚN COTIZACIÓN. ZGEN 100005331. REF 1058012-409-COT25."/>
        <s v="PEDIDO COMITÉ FARMACIA N° 10 2023. COMPRA AGIL. FLETE AEREO CARGO DEL PROVEEDOR. 1058012-17-COT24"/>
        <s v="PEDIDO FARMACIA DOSIS UNITARIA FEBRERO. ADQUISICIÓN VÍA COMPRA ÁGIL. FLETE 14 A 26 DÍAS SEGÚN COTIZACIÓN. REF 1058012-93-COT25."/>
        <s v="COMPRA ALTERNATIVA POR FALTA DE STOCK EN PROVEEDOR OC N° 1058012-851-SE24. ADQUISICIÓN VÍA COMPRA ÁGIL. FLETE CARGO DEL PROVEEDOR. ZGEN 100003402. REF 1058012-347-COT24."/>
        <s v="PEDIDO FARMACIA AMBULATORIA AGOSTO. ADQUISICIÓN VÍA COMPRA ÁGIL. DESPACHO 48 HORAS CARGO DEL PROVEEDOR SEGÚN COTIZACIÓN. REF 1058012-495-COT25"/>
        <s v="PEDIDO COMITÉ FARMACIA JUNIO. ADQUISICIÓN VÍA COMPRA ÁGIL. DESPACHO 48 HORAS CARGO DEL PROVEEDOR SE GÚN COTIZACIÓN. REF 1058012-440-COT25."/>
        <s v="COMPRA ALTERNATIVA POR FALTA DE STOCK EN PROVEEDOR OC N° 1058012-7912-SE25. ADQUISICIÓN VÍA COMPRA ÁGIL. DESPACHO 2 DÍAS CARGO DEL PROVEEDOR SEGÚN COTIZACIÓN. ZGEN 100002528. REF 1058012-517-COT25."/>
        <s v="COMPRA ALTERNATIVA POR FALTA DE STOCK EN OC N° 1058012-8271-SE25. ADQUISICIÓN VÍA COMPRA ÁGIL. DESPACHO 2 DÍAS CARGO DEL PROVEEDOR SEGÚN COTIZACIÓN. ZGEN 100002528. REF 1058012-551-COT25."/>
        <s v="COMPRA ALTERNATIVA POR FALTA DE STOCK EN PROVEEDOR N° ORDEN 1058012-627-AG24. ADQUISICIÓN VÍA COMPRA ÁGIL. FLETE CARGO DEL PROVEEDOR. REF 1058012-234-COT24."/>
        <s v="PEDIDO FARMACIA AMBULATORIA JUNIO. ADQUISICIÓN VÍA COMPRA ÁGIL. DESPACHO 7 DÍAS SEGÚN COTIZACIÓN. REF 1058012-396-COT25."/>
        <s v="PEDIDO COMITÉ FARMACIA JULIO. ADQUISICIÓN VÍA COMPRA ÁGIL. DESPACHO PARCIALIZADO, PRIMER DESPACHO POR 90 COMPRIMIDOS, SIGUIENTES DESPACHOS EN CANTIDAD Y FECHAS A CONFIRMAR AL CORREO rodrigo.barria.b@redsalud.gob.cl Ó AL FONO 61-2293466 CON D. RODRIGO BARR"/>
        <s v="COMPRA ALTERNATIVA POR FALTA DE STOCK EN PROVEEDOR OC N° 1058012-6987-SE25. ADQUISICIÓN VÍA COMPRA ÁGIL. DESPACHO 72 HORAS CARGO DEL PROVEEDOR CARGO DEL PROVEEDOR. ZGEN 100002528. REF 1058012-309-COT25."/>
        <s v="PEDIDO FALTA CENABAST. COMPRA AGIL. DESPACHOA CARGO DEL PROVEEDOR. 1058012-376-COT25"/>
        <s v="PEDIDO FARMACIA DOSIS UNITARIA MARZO. COMPRA AGIL DESPACHO PARCIAL CARGO DEL PROVEEDOR. 1058012-163-COT24"/>
        <s v="PEDIDO FARMACIA AMBULATORIA JULIO. ADQUISICIÓN VÍA COMPRA ÁGIL. FLETE 48 HRS. SEGÚN COTIZACIÓN. REF 1058012-508-COT24."/>
        <s v="COMPRA ALTERNATIVA POR FALTA DE STOCK EN PROVEEDOR OC N° 1058012-4649-SE25. ADQUISICIÓN VÍA COMPRA ÁGIL. DESPACHO 2 DÍAS CARGO DEL PROVEEDOR SEGÚN COTIZACIÓN. REF 1058012-197-COT25."/>
        <s v="COMPRA ALTERNATIVA POR FALTA DE STOCK EN PROVEEDOR OC N° 1058012-2648-SE24. ADQUISICIÓN VÍA COMPRA ÁGIL. FLETE CARGO DEL PROVEEDOR. ZGEN 100004941. REF 1058012-637-COT24."/>
        <s v="PEDIDO PILAS 13, STOCK PARA MESES MARZO-DICIEMBRE 2025, COMPRA ÁGIL 1057402-480-COT25, FLETE CARTO HOSPITAL CON RETIROS PARCIALES MARZO-DICIEMBRE 2025"/>
        <s v="PEDIDO FARMACIA AMBULATORIA JULIO. ADQUISICIÓN VÍA COMPRA ÁGIL. DESPACHO 7 DÍAS CARGO DEL PROVEEDOR SEGÚN COTIZACIÓN. REF 1058012-489-COT25."/>
        <s v="COMPRA ALTERNATIVA POR FALTA DE STOCK EN OC N° 1058012-4429-SE25. ADQUISICIÓN VÍA COMPRA ÁGIL. DESPACHO 3 DÍAS HÁBILES SEGÚN COTIZACIÓN. ZGEN 100002087. REF 1058012-128-COT25."/>
        <s v="COMPRA ALTERNATIVA POR FALTA DE STOCK EN PROVEEDOR OC N° 1058012-7338-SE25. ADQUISICIÓN VÍA COMPRA ÁGIL. DESPACHO 48 HRS. CARGO DEL PROVEEDOR SEGÚN COTIZACIÓN. REF 1058012-412-COT25."/>
        <s v="PEDIDO FECHA 22-01-2024, COMPRA ÁGIL ID 1057402-120-COT24, ENTREGA CARGO PROVEEDOR. *****DESPACHO PARCIALIZADO MENSUAL DE ENERO 2024 A DICIEMBRE 2024***** MENSUAL PILAS 13: 540 UNIDADES MENSUAL PILAS 675: 90 UNIDADES MENSUAL PILAS 312: 50 UNIDADES"/>
        <s v="PEDIDO FARMACIA AMBULATORIA MARZO. ADQUISICIÓN VÍA COMPRA ÁGIL. DESPACHO 7 DÍAS CARGO DEL PROVEEDOR SEGÚN COTIZACIÓN. REF 1058012-172-COT25."/>
        <s v="PEDIDO FALTA DISTRIBUCIÓN CENABAST FEBRERO. ADQUISICIÓN VÍA COMPRA ÁGIL. FLETE CARGO DEL PROVEEDOR. ZGEN 100001111. REF 1058012-146-COT24."/>
        <s v="COMPRA ALTERNATIVA POR FALTA CENABAST OC ANTERIOR N° ORDEN 1057402-600-SE24 ADQUISICIÓN VÍA COMPRA ÁGIL 1058012-204-COT24 DESPACHO 2 A 3 DÍAS HABILES CARGO PROVEEDOR ZGEN 100000912. CONFIRMAR CON EL SR. RODRIGO BARRÍA AL CORREO seguimiento.farmacia@redsal"/>
        <s v="COMPRA ALTERNATIVA POR FALTA DE STOCK EN PROVEEDOR OC N° 1058012-7424-SE25. ADQUISICIÓN VÍA COMPRA ÁGIL. DESPACHO 48 HORAS CARGO DEL PROVEEDOR SEGÚN COTIZACIÓN. ZGEN 100002070. REF 1058012-493-COT25."/>
        <s v="PEDIDO FARMACIA AMBULATORIA JULIO. ADQUISICIÓN VÍA COMPRA ÁGIL. FLETE 1 DÍA HÁBIL SEGÚN COTIZACIÓN. REF 1058012-509-COT24."/>
        <s v="PEDIDO (FAR) PARTICULAR FARMACIA. (INSUMO COMPATIBLE CON MONITOR DE LECTURA AUDIBLE DE GLUCOSA). ADQUISICIÓN VÍA COMPRA ÁGIL. DESPACHO 3 DÍAS CARGO DEL PROVEEDOR SEGÚN COTIZACIÓN. REF 1057402-613-COT25."/>
        <s v="COMPRA ALTERNATIVA POR FALTA DE STOCK EN PROVEEDOR OC N° 1058012-7619-SE25 Y OC N° 1058012-7659-SE25. ADQUISICIÓN VÍA COMPRA ÁGIL. DESPACHO 15 DÍAS CARGO DEL PROVEEDOR SEGÚN COTIZACIÓN. SE PUEDE ACORDAR RETIRO EN CASO DE SER NECESARIO. ZGEN 100003826. REF"/>
        <s v="PEDIDO FARMACIA AMBULATORIA ENERO. ADQUISICÓN VÍA COMPRA ÁGIL. FLETE 3 DÍAS HÁBILES SEGÚN COTIZACIÓN. REF 1058012-15-COT25."/>
        <s v="PEDIDO FARMACIA AMBULATORIA ENERO. ADQUISICIÓN VÍA COMPRA ÁGIL. FLETE 72 HRS CARGO DEL PROVEEDOR. REF 1058012-14-COT25."/>
        <s v="PEDIDO FALTA DISTRIBUCIÓN CENABAST ABRIL. ADQUISICIÓN VÍA COMPRA ÁGIL. FLETE CARGO DEL PROVEEDOR. REF 1058012-277-COT24."/>
        <s v="COMPRA ALTERNATIVA POR FALTA DE STOCK EN PROVEEDOR N° ORDEN 1058012-787-SE24. ADQUISICIÓN VÍA COMPRA ÁGIL. FLETE CARGO DEL PROVEEDOR. REF 1058012-267-COT24."/>
        <s v="PEDIDO COMITÉ FARMACIA MAYO. ADQUISICIÓN VÍA COMPRA ÁGIL. FLETE CARGO DEL PROVEEDOR. REF 1058012-349-COT24."/>
        <s v="COMPRA ALTERNATIVA POR FALTA DE STOCK EN PROVEEDOR OC N° 1058012-1530-SE24. FLETE 72 HORAS SEGÚN COTIZACIÓN. ZGEN 100001662. REF 1058012-462-COT24."/>
        <s v="COMPRA ALTERNATIVA POR FALTA DE STOCK EN PROVEEDOR OC N° 1058012-1301-SE24. ADQUISICIÓN VÍA COMPRA ÁGIL. FLETE 72 HRS. SEGÚN COTIZACIÓN. ZGEN 100001662. REF 1058012-438-COT24."/>
        <s v="PEDIDO COMITÉ FARMACIA MAYO. ADQUISICIÓN VÍA COMPRA ÁGIL. FLETE CARGO DEL PROVEEDOR. DESPACHO PARCIALIZADO, 1.500 COMPRIMIDOS AL ACEPTAR OC, COMPRIMIDOS RESTANTES SERAN COORDINADAS POR D. RODRIGO BARRIA (CORREO rodrigo.barria.hcm@gmail.com - FONO 61-22934"/>
        <s v="COMPRA ALTERNATIVA POR FALTA DE STOCK EN PROVEEDOR OC N° 1058012-4494-AG25. ADQUISICIÓN VÍA COMPRA ÁGIL. DESPACHO 72 HORAS CARGO DEL PROVEEDOR SEGÚN COTIZACIÓN. ZGEN 100000382. REF 1058012-259-COT25."/>
        <s v="COMPRA ALTERNATIVA POR FALTA DE STOCK EN PROVEEDOR OC N° 1058012-2297-SE24. ADQUISICIÓN VÍA COMPRA ÁGIL FLETE 3 A 5 DÍAS HÁBILES SEGÚN COTIZACIÓN. REF 1058012-626-COT24."/>
        <s v="COMPRA ALTERNATIVA POR FALTA DE STOCK EN PROVEEDOR OC N° 1058012-7045-SE25. ADQUISICIÓN VÍA COMPRA ÁGIL. DESPACHO 3 DÍAS CARGO DEL PROVEEDOR SEGÚN COTIZACIÓN. ZGEN 100001465. REF 1058012-338-COT25."/>
        <s v="COMPRA ALTERNATIVA POR FALTA DE STOCK EN PROVEEDOR OC N° 1058012-1731-SE24. ADQUISICIÓN VÍA COMPRA ÁGIL. FLETE 4 DÍAS SEGÚN COTIZACIÓN. ZGEN 100002074. REF 1058012-504-COT24."/>
        <s v="COMPRA ALTERNATIVA POR FALTA DE STOCK EN PROVEEDOR OC N° 1058012-1804-SE24. ADQUISICIÓN VÍA COMPRA ÁGIL. FLETE 48 HORAS HÁBILES SEGÚN COTIZACIÓN. ZGEN 100002074. REF 1058012-520-COT24."/>
        <s v="PEDIDO FARMACIA AMBULATORIA ENERO. ADQUISICIÓN VÍA COMPRA ÁGIL. FLETE 24 A 48 HRS SEGÚN COTIZACIÓN. ZGEN 100000166. FLETE REF 1058012-5-COT25."/>
        <s v="COMPRA ALTERNATIVA POR FALTA DE STOCK EN PROVEEDOR OC N° 1058012-833-SE24 Y 1058012-1387-SE24. FLETE 5 DÍAS SEGÚN COTIZACIÓN. ZGEN 100001023. REF 1058012-441-COT24."/>
        <s v="COMPRA ALTERNATIVA POR FALTA STOCK EN PROVEEDOR OC N° 1058012-1742-SE24. ADQUISICIÓN VÍA COMPRA ÁGIL. FLETE CARGO DEL PROVEEDOR. ZGEN 100002901. REF 1058012-528-COT24."/>
        <s v="COMPRA ALTERNATIVA POR FALTA DE STOCK EN OC N° 1058012-4355-SE25. ADQUISICIÓN VÍA COMPRA ÁGIL. DESPACHO 24 HRS. SEGÚN COTIZACIÓN. ZGEN 100000362. REF 1058012-116-COT25."/>
        <s v="COMPRA ALTERNATIVA POR FALTA DE STOCK EN PROVEEDOR DE N° ORDEN 1058012-7977-SE25. ADQUISICIÓN VÍA COMPRA ÁGIL. TRASLADO CARGO A CONFIRMAR CON EL SR. RODRIGO BARRÍA AL CORREO rodrigo.barria.b@redsalud.gov.cl Ó AL FONO 61 -2293466. ZGEN 100001580 REF 105801"/>
        <s v="PEDIDO FALTANTES DISTRIBUCIÓN CENABAST ENERO. ADQUISICIÓN VÍA COMPRA ÁGIL. FLETE CARGO DEL PROVEEDOR. ZGEN 100002004 REF 1058012-78-COT24"/>
        <s v="PEDIDO FARMACIA AMBULATORIA MAYO. ADQUISICIÓN VÍA COMPRA ÁGIL. FLETE CARGO DEL PROVEEDOR. ZGEN 100001216. REF 1058012-328-COT24."/>
        <s v="PEDIDO STOCK CRÍTICO FARMACIA AMBULATORIA JUNIO. ADQUISICIÓN VÍA COMPRA ÁGIL. DESPACHO 3 DÍAS CARGO DEL PROVEEDOR SEGÚN COTIZACIÓN. ZGEN 100001216. REF 1058012-429-COT25."/>
        <s v="COMPRA ALTERNATIVA POR FALTA DE STOCK EN PROVEEDOR OC N° 1058012-1743-SE24. ADQUISICIÓN VÍA COMPRA ÁGIL. FLETE 48 HRS. CARGO DEL PROVEEDOR SEGÚN COTIZACIÓN. ZGEN 100003239. REF 1058012-529-COT24."/>
        <s v="COMPRA ALTERNATIVA POR FALTA DE STOCK EN PROVEEDOR N° ORDEN 1058012-444-SE24. ADQUISICIÓN VÍA COMPRA ÁGIL. FLETE CARGO DEL PROVEEDOR. REF 1058012-188-COT24."/>
        <s v="PEDIDO FARMACIA AMBULATORIA MAYO. ADQUISICIÓN VÍA COMPRA PÁGIL. FLETE CARGO DEL PROVEEDOR. ZGEN 100000836. REF 1058012-326-COT24."/>
        <s v="COMPRA ALTERNATIVA POR FALTA DE STOCK EN PROVEEDOR OC N° 1058012-2284-SE24 Y OC N° 1058012-2624-SE24. ADQUISICIÓN VÍA COMPRA ÁGIL. FLETE 24 HRS. SEGÚN COTIZACIÓN. ZGEN 100000836. REF 1058012-647-COT24."/>
      </sharedItems>
    </cacheField>
    <cacheField name="MontoNetoOC" numFmtId="165">
      <sharedItems containsSemiMixedTypes="0" containsString="0" containsNumber="1" containsInteger="1">
        <n v="3189516.0"/>
        <n v="1518000.0"/>
        <n v="564448.0"/>
        <n v="1128896.0"/>
        <n v="1580000.0"/>
        <n v="141500.0"/>
        <n v="1300000.0"/>
        <n v="2100030.0"/>
        <n v="271060.0"/>
        <n v="526900.0"/>
        <n v="1428000.0"/>
        <n v="2856000.0"/>
        <n v="1303820.0"/>
        <n v="1419120.0"/>
        <n v="1044150.0"/>
        <n v="1339650.0"/>
        <n v="1363520.0"/>
        <n v="646627.0"/>
        <n v="168750.0"/>
        <n v="994440.0"/>
        <n v="3660000.0"/>
        <n v="5700000.0"/>
        <n v="5341680.0"/>
        <n v="1238400.0"/>
        <n v="5626560.0"/>
        <n v="637140.0"/>
        <n v="540000.0"/>
        <n v="338000.0"/>
        <n v="1000620.0"/>
        <n v="325440.0"/>
        <n v="796250.0"/>
        <n v="303220.0"/>
        <n v="990080.0"/>
        <n v="424320.0"/>
        <n v="2898000.0"/>
        <n v="619200.0"/>
        <n v="1278800.0"/>
        <n v="125000.0"/>
        <n v="2750000.0"/>
        <n v="621900.0"/>
        <n v="122880.0"/>
        <n v="767360.0"/>
        <n v="220000.0"/>
        <n v="1630950.0"/>
        <n v="1087300.0"/>
        <n v="257500.0"/>
        <n v="720000.0"/>
        <n v="600000.0"/>
        <n v="950000.0"/>
        <n v="762750.0"/>
        <n v="465960.0"/>
        <n v="1327500.0"/>
        <n v="423540.0"/>
        <n v="2429700.0"/>
        <n v="3153500.0"/>
        <n v="123080.0"/>
        <n v="961600.0"/>
        <n v="120000.0"/>
        <n v="180000.0"/>
        <n v="344160.0"/>
        <n v="1581440.0"/>
        <n v="564700.0"/>
        <n v="970920.0"/>
        <n v="303540.0"/>
        <n v="242500.0"/>
        <n v="567600.0"/>
        <n v="681450.0"/>
        <n v="135000.0"/>
        <n v="435900.0"/>
        <n v="88200.0"/>
        <n v="824100.0"/>
        <n v="1628000.0"/>
        <n v="1124200.0"/>
        <n v="2399400.0"/>
        <n v="1624140.0"/>
        <n v="1110000.0"/>
        <n v="72600.0"/>
        <n v="589176.0"/>
        <n v="350400.0"/>
        <n v="161100.0"/>
        <n v="1570500.0"/>
        <n v="455700.0"/>
        <n v="2654100.0"/>
        <n v="1290760.0"/>
        <n v="2338200.0"/>
        <n v="414000.0"/>
        <n v="67890.0"/>
        <n v="1095000.0"/>
        <n v="611520.0"/>
        <n v="30506.0"/>
        <n v="1591000.0"/>
        <n v="234000.0"/>
        <n v="195000.0"/>
        <n v="543900.0"/>
        <n v="175900.0"/>
        <n v="153450.0"/>
        <n v="1600320.0"/>
        <n v="480000.0"/>
        <n v="628000.0"/>
        <n v="299000.0"/>
        <n v="292400.0"/>
        <n v="870000.0"/>
        <n v="1280124.0"/>
        <n v="453600.0"/>
        <n v="1388400.0"/>
        <n v="921600.0"/>
        <n v="1755000.0"/>
        <n v="230400.0"/>
        <n v="425700.0"/>
        <n v="450000.0"/>
        <n v="261600.0"/>
        <n v="255300.0"/>
        <n v="248400.0"/>
        <n v="240600.0"/>
        <n v="320000.0"/>
        <n v="715500.0"/>
        <n v="467460.0"/>
        <n v="1373400.0"/>
        <n v="217500.0"/>
        <n v="280000.0"/>
        <n v="130944.0"/>
        <n v="66000.0"/>
        <n v="591300.0"/>
        <n v="910500.0"/>
        <n v="83100.0"/>
        <n v="820500.0"/>
        <n v="936000.0"/>
        <n v="1121040.0"/>
        <n v="155700.0"/>
        <n v="148500.0"/>
        <n v="144000.0"/>
        <n v="286200.0"/>
        <n v="572400.0"/>
        <n v="142500.0"/>
        <n v="1350000.0"/>
        <n v="360000.0"/>
        <n v="129900.0"/>
        <n v="586080.0"/>
        <n v="487200.0"/>
        <n v="321300.0"/>
        <n v="177000.0"/>
        <n v="106200.0"/>
        <n v="525000.0"/>
        <n v="594000.0"/>
        <n v="191400.0"/>
        <n v="945000.0"/>
        <n v="60000.0"/>
        <n v="1944000.0"/>
        <n v="318000.0"/>
        <n v="189000.0"/>
        <n v="420000.0"/>
        <n v="1623840.0"/>
        <n v="115200.0"/>
        <n v="55500.0"/>
        <n v="25760.0"/>
        <n v="1803060.0"/>
        <n v="270000.0"/>
        <n v="975000.0"/>
        <n v="130560.0"/>
        <n v="174000.0"/>
        <n v="110000.0"/>
        <n v="64800.0"/>
        <n v="81000.0"/>
        <n v="876000.0"/>
        <n v="438000.0"/>
        <n v="241920.0"/>
        <n v="63360.0"/>
        <n v="378000.0"/>
        <n v="78000.0"/>
        <n v="228000.0"/>
        <n v="558600.0"/>
        <n v="72000.0"/>
        <n v="1085000.0"/>
        <n v="105000.0"/>
        <n v="384000.0"/>
        <n v="201600.0"/>
        <n v="110500.0"/>
        <n v="44800.0"/>
        <n v="135675.0"/>
        <n v="196980.0"/>
      </sharedItems>
    </cacheField>
    <cacheField name="DescuentosOC" numFmtId="166">
      <sharedItems containsSemiMixedTypes="0" containsString="0" containsNumber="1" containsInteger="1">
        <n v="0.0"/>
      </sharedItems>
    </cacheField>
    <cacheField name="CargosOC" numFmtId="166">
      <sharedItems containsSemiMixedTypes="0" containsString="0" containsNumber="1" containsInteger="1">
        <n v="0.0"/>
        <n v="150000.0"/>
        <n v="55000.0"/>
        <n v="20000.0"/>
      </sharedItems>
    </cacheField>
    <cacheField name="ImpuestosOC" numFmtId="166">
      <sharedItems containsSemiMixedTypes="0" containsString="0" containsNumber="1">
        <n v="606008.04"/>
        <n v="288420.0"/>
        <n v="107245.12"/>
        <n v="214490.24"/>
        <n v="300200.0"/>
        <n v="26885.0"/>
        <n v="247000.0"/>
        <n v="399005.7"/>
        <n v="51501.4"/>
        <n v="100111.0"/>
        <n v="271320.0"/>
        <n v="542640.0"/>
        <n v="247725.8"/>
        <n v="269632.8"/>
        <n v="198388.5"/>
        <n v="254533.5"/>
        <n v="259068.8"/>
        <n v="122859.13"/>
        <n v="32062.5"/>
        <n v="188943.6"/>
        <n v="695400.0"/>
        <n v="1083000.0"/>
        <n v="1014919.2"/>
        <n v="235296.0"/>
        <n v="1069046.4"/>
        <n v="121056.6"/>
        <n v="102600.0"/>
        <n v="64220.0"/>
        <n v="190117.8"/>
        <n v="61833.6"/>
        <n v="151287.5"/>
        <n v="57611.8"/>
        <n v="188115.2"/>
        <n v="80620.8"/>
        <n v="550620.0"/>
        <n v="117648.0"/>
        <n v="242972.0"/>
        <n v="23750.0"/>
        <n v="551000.0"/>
        <n v="118161.0"/>
        <n v="23347.2"/>
        <n v="145798.4"/>
        <n v="41800.0"/>
        <n v="309880.5"/>
        <n v="206587.0"/>
        <n v="48925.0"/>
        <n v="136800.0"/>
        <n v="114000.0"/>
        <n v="180500.0"/>
        <n v="144922.5"/>
        <n v="88532.4"/>
        <n v="252225.0"/>
        <n v="80472.6"/>
        <n v="461643.0"/>
        <n v="599165.0"/>
        <n v="23385.2"/>
        <n v="182704.0"/>
        <n v="22800.0"/>
        <n v="34200.0"/>
        <n v="65390.4"/>
        <n v="300473.6"/>
        <n v="107293.0"/>
        <n v="184474.8"/>
        <n v="57672.6"/>
        <n v="56525.0"/>
        <n v="107844.0"/>
        <n v="129475.5"/>
        <n v="25650.0"/>
        <n v="82821.0"/>
        <n v="16758.0"/>
        <n v="156579.0"/>
        <n v="309320.0"/>
        <n v="213598.0"/>
        <n v="455886.0"/>
        <n v="308586.6"/>
        <n v="210900.0"/>
        <n v="13794.0"/>
        <n v="111943.44"/>
        <n v="66576.0"/>
        <n v="30609.0"/>
        <n v="298395.0"/>
        <n v="86583.0"/>
        <n v="504279.0"/>
        <n v="245244.4"/>
        <n v="444258.0"/>
        <n v="78660.0"/>
        <n v="12899.1"/>
        <n v="208050.0"/>
        <n v="116188.8"/>
        <n v="5796.14"/>
        <n v="302290.0"/>
        <n v="44460.0"/>
        <n v="37050.0"/>
        <n v="103341.0"/>
        <n v="33421.0"/>
        <n v="29155.5"/>
        <n v="304060.8"/>
        <n v="91200.0"/>
        <n v="123120.0"/>
        <n v="56810.0"/>
        <n v="55556.0"/>
        <n v="165300.0"/>
        <n v="243223.56"/>
        <n v="86184.0"/>
        <n v="263796.0"/>
        <n v="175104.0"/>
        <n v="333450.0"/>
        <n v="43776.0"/>
        <n v="80883.0"/>
        <n v="85500.0"/>
        <n v="49704.0"/>
        <n v="48507.0"/>
        <n v="47196.0"/>
        <n v="45714.0"/>
        <n v="60800.0"/>
        <n v="135945.0"/>
        <n v="88817.4"/>
        <n v="260946.0"/>
        <n v="41325.0"/>
        <n v="53200.0"/>
        <n v="24879.36"/>
        <n v="12540.0"/>
        <n v="112347.0"/>
        <n v="172995.0"/>
        <n v="15789.0"/>
        <n v="155895.0"/>
        <n v="177840.0"/>
        <n v="212997.6"/>
        <n v="29583.0"/>
        <n v="28215.0"/>
        <n v="27360.0"/>
        <n v="54378.0"/>
        <n v="108756.0"/>
        <n v="27075.0"/>
        <n v="256500.0"/>
        <n v="68400.0"/>
        <n v="24681.0"/>
        <n v="111355.2"/>
        <n v="92568.0"/>
        <n v="61047.0"/>
        <n v="33630.0"/>
        <n v="20178.0"/>
        <n v="99750.0"/>
        <n v="112860.0"/>
        <n v="36366.0"/>
        <n v="179550.0"/>
        <n v="11400.0"/>
        <n v="369360.0"/>
        <n v="60420.0"/>
        <n v="35910.0"/>
        <n v="79800.0"/>
        <n v="308529.6"/>
        <n v="21888.0"/>
        <n v="10545.0"/>
        <n v="4894.4"/>
        <n v="342581.4"/>
        <n v="51300.0"/>
        <n v="185250.0"/>
        <n v="24806.4"/>
        <n v="33060.0"/>
        <n v="20900.0"/>
        <n v="12312.0"/>
        <n v="15390.0"/>
        <n v="166440.0"/>
        <n v="83220.0"/>
        <n v="45964.8"/>
        <n v="12038.4"/>
        <n v="71820.0"/>
        <n v="14820.0"/>
        <n v="43320.0"/>
        <n v="106134.0"/>
        <n v="13680.0"/>
        <n v="206150.0"/>
        <n v="19950.0"/>
        <n v="72960.0"/>
        <n v="38304.0"/>
        <n v="20995.0"/>
        <n v="8512.0"/>
        <n v="25778.25"/>
        <n v="37426.2"/>
      </sharedItems>
    </cacheField>
    <cacheField name="MontoTotalOC" numFmtId="166">
      <sharedItems containsSemiMixedTypes="0" containsString="0" containsNumber="1">
        <n v="3795524.04"/>
        <n v="1806420.0"/>
        <n v="671693.12"/>
        <n v="1343386.24"/>
        <n v="1880200.0"/>
        <n v="168385.0"/>
        <n v="1547000.0"/>
        <n v="2499035.7"/>
        <n v="322561.4"/>
        <n v="627011.0"/>
        <n v="1699320.0"/>
        <n v="3398640.0"/>
        <n v="1551545.8"/>
        <n v="1688752.8"/>
        <n v="1242538.5"/>
        <n v="1594183.5"/>
        <n v="1622588.8"/>
        <n v="769486.13"/>
        <n v="200812.5"/>
        <n v="1183383.6"/>
        <n v="4355400.0"/>
        <n v="6783000.0"/>
        <n v="6356599.2"/>
        <n v="1473696.0"/>
        <n v="6695606.4"/>
        <n v="758196.6"/>
        <n v="642600.0"/>
        <n v="402220.0"/>
        <n v="1190737.8"/>
        <n v="387273.6"/>
        <n v="947537.5"/>
        <n v="360831.8"/>
        <n v="1178195.2"/>
        <n v="504940.8"/>
        <n v="3448620.0"/>
        <n v="736848.0"/>
        <n v="1521772.0"/>
        <n v="148750.0"/>
        <n v="3451000.0"/>
        <n v="740061.0"/>
        <n v="146227.2"/>
        <n v="913158.4"/>
        <n v="261800.0"/>
        <n v="1940830.5"/>
        <n v="1293887.0"/>
        <n v="306425.0"/>
        <n v="856800.0"/>
        <n v="714000.0"/>
        <n v="1130500.0"/>
        <n v="907672.5"/>
        <n v="554492.4"/>
        <n v="1579725.0"/>
        <n v="504012.6"/>
        <n v="2891343.0"/>
        <n v="3752665.0"/>
        <n v="146465.2"/>
        <n v="1144304.0"/>
        <n v="142800.0"/>
        <n v="214200.0"/>
        <n v="409550.4"/>
        <n v="1881913.6"/>
        <n v="671993.0"/>
        <n v="1155394.8"/>
        <n v="361212.6"/>
        <n v="354025.0"/>
        <n v="675444.0"/>
        <n v="810925.5"/>
        <n v="160650.0"/>
        <n v="518721.0"/>
        <n v="104958.0"/>
        <n v="980679.0"/>
        <n v="1937320.0"/>
        <n v="1337798.0"/>
        <n v="2855286.0"/>
        <n v="1932726.6"/>
        <n v="1320900.0"/>
        <n v="86394.0"/>
        <n v="701119.44"/>
        <n v="416976.0"/>
        <n v="191709.0"/>
        <n v="1868895.0"/>
        <n v="542283.0"/>
        <n v="3158379.0"/>
        <n v="1536004.4"/>
        <n v="2782458.0"/>
        <n v="492660.0"/>
        <n v="80789.1"/>
        <n v="1303050.0"/>
        <n v="727708.8"/>
        <n v="36302.14"/>
        <n v="1893290.0"/>
        <n v="278460.0"/>
        <n v="232050.0"/>
        <n v="647241.0"/>
        <n v="209321.0"/>
        <n v="182605.5"/>
        <n v="1904380.8"/>
        <n v="571200.0"/>
        <n v="771120.0"/>
        <n v="355810.0"/>
        <n v="347956.0"/>
        <n v="1035300.0"/>
        <n v="1523347.56"/>
        <n v="539784.0"/>
        <n v="1652196.0"/>
        <n v="1096704.0"/>
        <n v="2088450.0"/>
        <n v="274176.0"/>
        <n v="506583.0"/>
        <n v="535500.0"/>
        <n v="311304.0"/>
        <n v="303807.0"/>
        <n v="295596.0"/>
        <n v="286314.0"/>
        <n v="380800.0"/>
        <n v="851445.0"/>
        <n v="556277.4"/>
        <n v="1634346.0"/>
        <n v="258825.0"/>
        <n v="333200.0"/>
        <n v="155823.36"/>
        <n v="78540.0"/>
        <n v="703647.0"/>
        <n v="1083495.0"/>
        <n v="98889.0"/>
        <n v="976395.0"/>
        <n v="1113840.0"/>
        <n v="1334037.6"/>
        <n v="185283.0"/>
        <n v="176715.0"/>
        <n v="171360.0"/>
        <n v="340578.0"/>
        <n v="681156.0"/>
        <n v="169575.0"/>
        <n v="1606500.0"/>
        <n v="428400.0"/>
        <n v="154581.0"/>
        <n v="697435.2"/>
        <n v="579768.0"/>
        <n v="382347.0"/>
        <n v="210630.0"/>
        <n v="126378.0"/>
        <n v="624750.0"/>
        <n v="706860.0"/>
        <n v="227766.0"/>
        <n v="1124550.0"/>
        <n v="71400.0"/>
        <n v="2313360.0"/>
        <n v="378420.0"/>
        <n v="224910.0"/>
        <n v="499800.0"/>
        <n v="1932369.6"/>
        <n v="137088.0"/>
        <n v="66045.0"/>
        <n v="30654.4"/>
        <n v="2145641.4"/>
        <n v="321300.0"/>
        <n v="1160250.0"/>
        <n v="155366.4"/>
        <n v="207060.0"/>
        <n v="130900.0"/>
        <n v="77112.0"/>
        <n v="96390.0"/>
        <n v="1042440.0"/>
        <n v="521220.0"/>
        <n v="287884.8"/>
        <n v="75398.4"/>
        <n v="449820.0"/>
        <n v="92820.0"/>
        <n v="271320.0"/>
        <n v="664734.0"/>
        <n v="85680.0"/>
        <n v="1291150.0"/>
        <n v="124950.0"/>
        <n v="456960.0"/>
        <n v="239904.0"/>
        <n v="131495.0"/>
        <n v="53312.0"/>
        <n v="161453.25"/>
        <n v="234406.2"/>
      </sharedItems>
    </cacheField>
    <cacheField name="UnidadCompra" numFmtId="0">
      <sharedItems>
        <s v="Fármarcos"/>
        <s v="Bienes y Servicios"/>
      </sharedItems>
    </cacheField>
    <cacheField name="Proveedor" numFmtId="0">
      <sharedItems>
        <s v="ASTRAZENECA SA"/>
        <s v="GLAXOSMITHKLINE CHILE FARMACEUTICA LIMITADA"/>
        <s v="SCM PHARMA SPA"/>
        <s v="innovative medicines s.a . agencia en chile"/>
        <s v="LABORATORIOS ANDROMACO S.A."/>
        <s v="LABORATORIO C&amp;D PHARMA LIMITADA"/>
        <s v="FARMACIAS PEDRO ITURRIETA MELENDEZ E.I.R.L."/>
        <s v="LABORATORIO CELNOVA CHILE SPA"/>
        <s v="LABORATORIO ACONFAR CHILE LIMITADA"/>
        <s v="GADOR LIMITADA"/>
        <s v="PFIZER CHILE S.A."/>
        <s v="LABORATORIOS RECALCINE SA"/>
        <s v="DROGUERÍA ACONCAGUA SPA"/>
        <s v="ADN FARMACEUTICA SPA"/>
        <s v="BPH S.A."/>
        <s v="CLINICAL MARKET S.A."/>
        <s v="GRIFOLS CHILE S A"/>
        <s v="ACQUA INVERSIONES SPA"/>
        <s v="EMCURE PHARMA CHILE SPA"/>
        <s v="FARMACEUTICA CARIBEAN LTDA"/>
        <s v="NOVOFARMA SERVICE S A"/>
        <s v="FRESENIUS KABI CHILE LIMITADA"/>
        <s v="B BRAUN MEDICAL SPA"/>
        <s v="WINKLER LIMITADA"/>
        <s v="LABORATORIO BOSTON S A"/>
        <s v="FARMACEUTICA INSUVAL S.A."/>
        <s v="CRISTALIA CHILE SPA"/>
        <s v="EQUIPOS MÉDICOS CHILE SPA"/>
        <s v="DROGUERIA GLOBAL PHARMA SPA"/>
        <s v="VERDEJO Y VERDEJO LIMITADA"/>
        <s v="ASPEN CHILE S.A."/>
        <s v="THEA PHARMA SPA"/>
        <s v="INSTITUTO SANITAS S A"/>
        <s v="DIFEM LABORATORIOS S A"/>
        <s v="ETEX FARMACEUTICA LIMITADA"/>
        <s v="HOSPITALIA PRODUCTOS MEDICOS LTDA"/>
        <s v="SERVICIOS FARMACEUTICOS Y DE SALUD QAFARMA SPA"/>
        <s v="ETHON PHARMACEUTICALS COMERCIALIZADORA IMP EXP Y DIST SPA"/>
        <s v="INVERSIONES PHARMAVISAN SOCIEDAD ANONIMA"/>
        <s v="BIOGEN CHILE SPA"/>
        <s v="LABORATORIO SANDERSON SA"/>
        <s v="BECRUX LABS SPA"/>
        <s v="PHARMARIS CHILE SPA"/>
        <s v="COMERCIAL MURTA SPA"/>
        <s v="TECNOFARMA S A"/>
        <s v="COMERCIAL INTERMEDICA LIMITADA"/>
        <s v="LABORATORIO HOSPIFARMA CHILE LIMITADA"/>
        <s v="ECOCARE SPA"/>
        <s v="MEGALABS CHILE S.A"/>
        <s v="EUROLABS CHILE SPA"/>
        <s v="ABBOTT LABORATORIES DE CHILE LTDA"/>
        <s v="COMERCIALIZADORA E-COMCHILE SPA"/>
        <s v="Exeltis Chile SpA"/>
        <s v="FARMACIAS Y DROGUERÍAS DE CHILE SPA"/>
        <s v="COMERCIALIZADORA DE ALIMENTOS ESPECIALIZADOS, MEDICAMENTOS Y DISPOSITI"/>
        <s v="MUNNICH PHARMA MEDICAL LIMITADA"/>
        <s v="SYNTHON CHILE LIMITADA"/>
        <s v="LABORATORIO LKM CHILE SPA"/>
        <s v="LABORATORIO BIOSANO S A"/>
        <s v="FARMACEUTICA BIOFORMULA LIMITADA"/>
        <s v="NEOETHICALS CHILE SPA"/>
        <s v="DCV COMPUTACION LTDA"/>
        <s v="GADORPHARMA SPA"/>
        <s v="WS AUDIOLOGY CHILE SPA"/>
        <s v="Alpha Pharma Chile SpA"/>
        <s v="OPKO CHILE S.A."/>
        <s v="COMERCIAL I-SENS CHILE SPA"/>
        <s v="CHEMOPHARMA S A"/>
        <s v="COMERCIAL EL PRADO S A"/>
        <s v="ASCEND LABORATORIES SPA"/>
        <s v="COMERCIAL ETHOS S A"/>
        <s v="DROGUERIA FARMACEUTICA DEL PACIFICO SPA"/>
      </sharedItems>
    </cacheField>
    <cacheField name="ProveedorRUT" numFmtId="0">
      <sharedItems>
        <s v="76.447.530-5"/>
        <s v="85.025.700-0"/>
        <s v="77.337.544-5"/>
        <s v="59.144.890-0"/>
        <s v="76.237.266-5"/>
        <s v="76.394.174-4"/>
        <s v="76.764.759-K"/>
        <s v="76.926.592-9"/>
        <s v="76.125.564-9"/>
        <s v="76.084.945-6"/>
        <s v="96.981.250-9"/>
        <s v="91.637.000-8"/>
        <s v="76.985.933-0"/>
        <s v="76.786.297-0"/>
        <s v="96.519.830-k"/>
        <s v="76.111.113-2"/>
        <s v="96.582.310-7"/>
        <s v="77.423.498-5"/>
        <s v="77.240.238-4"/>
        <s v="76.830.090-9"/>
        <s v="96.945.670-2"/>
        <s v="77.478.120-k"/>
        <s v="96.756.540-7"/>
        <s v="79.722.860-5"/>
        <s v="96.989.940-k"/>
        <s v="77.768.990-8"/>
        <s v="77.542.429-K"/>
        <s v="77.354.084-5"/>
        <s v="76.389.383-9"/>
        <s v="79.591.440-4"/>
        <s v="76.328.242-2"/>
        <s v="76.692.953-2"/>
        <s v="90.073.000-4"/>
        <s v="79.581.120-6"/>
        <s v="78.026.330-K"/>
        <s v="78.233.420-4"/>
        <s v="78.045.809-7"/>
        <s v="76.956.140-4"/>
        <s v="76.055.804-4"/>
        <s v="76.099.774-9"/>
        <s v="91.546.000-3"/>
        <s v="77.354.932-K"/>
        <s v="76.418.921-3"/>
        <s v="76.696.518-0"/>
        <s v="88.466.300-8"/>
        <s v="76.205.137-0"/>
        <s v="76.133.312-7"/>
        <s v="76.709.214-8"/>
        <s v="94.544.000-7"/>
        <s v="77.528.837-K"/>
        <s v="81.378.300-2"/>
        <s v="77.027.029-4"/>
        <s v="76.383.221-K"/>
        <s v="76.032.335-7"/>
        <s v="77.145.531-K"/>
        <s v="80.447.400-5"/>
        <s v="76.032.097-8"/>
        <s v="76.377.981-5"/>
        <s v="88.597.500-3"/>
        <s v="76.030.398-4"/>
        <s v="76.458.051-6"/>
        <s v="76.449.981-6"/>
        <s v="76.453.466-2"/>
        <s v="76.136.334-4"/>
        <s v="76.479.314-5"/>
        <s v="76.669.630-9"/>
        <s v="76.440.218-9"/>
        <s v="96.026.000-7"/>
        <s v="96.776.130-3"/>
        <s v="76.175.092-5"/>
        <s v="78.583.750-9"/>
        <s v="77.477.947-7"/>
      </sharedItems>
    </cacheField>
    <cacheField name="ActividadProveedor" numFmtId="0">
      <sharedItems containsBlank="1">
        <s v="VENTA AL POR MAYOR DE PRODUCTOS FARMACEUTICOS"/>
        <s v="FABRICACION DE PRODUCTOS FARMACEUTICOS, SUSTANCIAS QUIMICAS MEDICINALE"/>
        <s v="VENTA AL POR MAYOR DE PRODUCTOS FARMACEUTICOS Y MEDICINALES"/>
        <s v="venta al por menor de productos medicinales"/>
        <s v="FARMACEUTICO"/>
        <m/>
        <s v="Farmacéutico"/>
        <s v="SERVICIOS DE ENVASADO Y EMPAQUE| OTROS PROFESIONALES DE LA SALUD| OTRAS ACTIVIDADES EMPRESARIALES RELACIONADAS CON LA SALUD HUMANA"/>
        <s v="FABRICACION DE PRODUCTOS FARMACEUTICOS, SUSTANCIAS QUIMICAS MEDICINALE| FABRICACION DE OTROS PRODUCTOS QUIMICOS N.C.P.| FABRICACION DE EQUIPO MEDICO Y QUIRURGICO, Y DE APARATOS ORTOPEDICOS| VENTA AL POR MAYOR DE OTROS PRODUCTOS N.C.P."/>
        <s v="FABRICACION DE PRODUCTOS DE CONFITERIA| FABRICACION DE PRODUCTOS FARMACEUTICOS, SUSTANCIAS QUIMICAS MEDICINALE| FABRICACIONES DE JABONES Y DETERGENTES, PREPARADOS PARA LIMPIAR, PERFU"/>
        <s v="FABRICACION DE PRODUCTOS FARMACEUTICOS, SUSTANCIAS QUIMICAS MEDICINALE| VENTA AL POR MAYOR DE OTROS PRODUCTOS N.C.P.| OTRAS ACTIVIDADES EMPRESARIALES N.C.P."/>
        <s v="DROGUERIA"/>
        <s v="VENTA AL POR MAYOR DE PRODUCTOS QUIMICOS"/>
        <s v="VENTA AL POR MAYOR DE PRODUCTOS FARMACEUTICOS| VENTA AL POR MENOR DE OTROS PRODUCTOS EN PEQUENOS ALMACENES NO ESPECIA| SOCIEDADES DE INVERSION Y RENTISTAS DE CAPITALES MOBILIARIOS EN GENERA| EMPRESAS DE ASESORIA, CONSULTORIA FINANCIERA Y DE APOYO AL GIRO"/>
        <s v="VENTA AL POR MAYOR DE OTROS PRODUCTOS N.C.P.| LABORATORIOS CLINICOS INCLUYE BANCOS DE SANGRE"/>
        <s v="VENTA AL POR MAYOR NO ESPECIALIZADA"/>
        <s v="VENTA AL POR MAYOR DE ARTICULOS DE PERFUMERIA, COSMETICOS, JABONES Y P| VENTA AL POR MAYOR DE PRODUCTOS FARMACEUTICOS| ALMACENES MEDIANOS (VENTA DE ALIMENTOS) SUPERMERCADOS, MINIMARKETS| VENTA AL POR MENOR DE PRODUCTOS MEDICINALES| VENTA AL POR MENOR DE"/>
        <s v="SERVICIOS DE ALMACENAMIENTO Y DEPOSITO| OTRAS ACTIVIDADES EMPRESARIALES N.C.P."/>
        <s v="VENTA AL POR MAYOR DE PRODUCTOS FARMACEUTICOS| TRANSPORTE DE CARGA POR CARRETERA| EMPRESAS DE ASESORIA, CONSULTORIA FINANCIERA Y DE APOYO AL GIRO"/>
        <s v="FABRICACION DE PRODUCTOS FARMACEUTICOS, SUSTANCIAS QUIMICAS MEDICINALE| FABRICACION DE OTROS PRODUCTOS QUIMICOS N.C.P.| VENTA AL POR MAYOR DE ARTICULOS DE PERFUMERIA, COSMETICOS, JABONES Y P| VENTA AL POR MAYOR DE PRODUCTOS FARMACEUTICOS| VENTA AL POR MAY"/>
        <s v="ELABORACION DE OTROS PRODUCTOS ALIMENTICIOS NO CLASIFICADOS EN OTRA PA| VENTA AL POR MAYOR DE PRODUCTOS QUIMICOS| VENTA AL POR MAYOR DE OTROS PRODUCTOS N.C.P."/>
        <s v="FABRICACION DE PROD. FARMACEUTICOS, SUSTANCIAS QUIMICAS MEDICINALES| VENTA AL POR MENOR A CAMBIO DE UNA RETRIBUCION O POR CONTRATA| COMPRA/VENTA Y ALQUILER (EXCEPTO AMOBLADOS) DE INM. PROPIOS O ARR| OTRAS ACTIVIDADES EMPRESARIALES N.C.P."/>
        <s v="VENTA AL POR MAYOR DE PRODUCTOS QUIMICOS| ALMACENES PEQUENOS (VENTA DE ALIMENTOS)| VENTA AL POR MENOR DE OTROS PRODUCTOS EN PEQUENOS ALMACENES NO ESPECIA| OTRAS ACTIVIDADES EMPRESARIALES RELACIONADAS CON LA SALUD HUMANA"/>
        <s v="FARMACIA Y PERFUMERIA"/>
        <s v="VENTAS AL POR MENOR DE OTROS PRODUCTOS EN ALMACENES ESPECIALIZADOS N.C"/>
        <s v="Venta de Productos y Subproductos Farmacéuticos, medicinales y nutricionales"/>
        <s v="Venta al por mayor de otros productos N.C.P."/>
        <s v="FABRICACION DE PRODUCTOS FARMACEUTICOS, SUSTANCIAS QUIMICAS MEDICINALE| FABRICACIONES DE JABONES Y DETERGENTES, PREPARADOS PARA LIMPIAR, PERFU"/>
        <s v="VENTA AL POR MAYOR DE ARTICULOS DE PERFUMERIA, COSMETICOS, JABONES Y P| VENTA AL POR MAYOR DE PRODUCTOS FARMACEUTICOS| VENTA AL POR MAYOR DE PRODUCTOS QUIMICOS"/>
        <s v="VENTA AL POR MENOR DE PRODUCTOS MEDICINALES| VENTAS AL POR MENOR DE OTROS PRODUCTOS EN ALMACENES ESPECIALIZADOS N.C"/>
        <s v="VENTA AL POR MAYOR DE PRODUCTOS FARMACEUTICOS| SOCIEDADES DE INVERSION Y RENTISTAS DE CAPITALES MOBILIARIOS EN GENERA| ACTIVIDADES DE INVESTIGACION"/>
        <s v="VENTA AL POR MAYOR DE ARTICULOS DE PERFUMERIA, DE TOCADOR Y COSMETICOS"/>
        <s v="Imp. y Comercializacion Productos Farmaceuticos"/>
        <s v="IMPORTACION Y COMERCIALIZACION. GESTION INMOBILIARIA Y MANTENCIÓN"/>
        <s v="OBRAS MENORES EN CONSTRUCCION (CONTRATISTAS, ALBANILES, CARPINTEROS)| VENTA AL POR MENOR DE ARTICULOS ORTOPEDICOS| VENTA AL POR MENOR DE ARTICULOS ELECTRODOMESTICOS Y ELECTRONICOS PARA| VENTA AL POR MENOR DE MUEBLES INCLUYE COLCHONES| VENTA AL POR MENOR"/>
        <s v="Importación y exportación insumos médicos y farmaceúticos"/>
        <s v="FABRICACION DE PRODUCTOS FARMACEUTICOS, SUSTANCIAS QUIMICAS MEDICINALE| VENTA AL POR MAYOR DE PRODUCTOS FARMACEUTICOS Y MEDICINALES| VENTA AL POR MAYOR DE OTROS TIPOS DE MAQUINARIA Y EQUIPO N.C.P."/>
        <s v="VENTAS Y SERVICIOS"/>
        <s v="VENTA AL POR MAYOR DE OTROS PRODUCTOS N.C.P.| VENTA AL POR MENOR DE PRODUCTOS MEDICINALES"/>
        <s v="VENTA AL POR MAYOR DE PRODUCTOS FARMACEUTICOS| VENTA AL POR MAYOR DE OTROS PRODUCTOS N.C.P."/>
        <s v="FABRICACION DE PRODUCTOS FARMACEUTICOS, SUSTANCIAS QUIMICAS MEDICINALE| ARRIENDO DE INMUEBLES AMOBLADOS O CON EQUIPOS Y MAQUINARIAS"/>
        <s v="FARMACIAS INDEPENDIENTES| VENTA AL POR MENOR DE PRODUCTOS MEDICINALES| VENTA AL POR MENOR DE ARTICULOS DE TOCADOR Y COSMETICOS"/>
        <s v="SUMINISTROS, EQUIPOS Y SERVICIOS COMPUTACIONALES"/>
        <s v="COMERCIALIZACIÓN DE PRODUCTOS FARMACÉUTICOS"/>
        <s v="VENTA AL POR MAYOR DE OTROS PRODUCTOS N.C.P.| VENTAS AL POR MENOR DE OTROS PRODUCTOS EN ALMACENES ESPECIALIZADOS N.C| SOCIEDADES DE INVERSION Y RENTISTAS DE CAPITALES MOBILIARIOS EN GENERA| EMPRESAS DE ASESORIA, CONSULTORIA FINANCIERA Y DE APOYO AL GIRO"/>
        <s v="Importadora de Productos Farmacéuticos"/>
        <s v="OTRAS ACTIVIDADES EMPRESARIALES RELACIONADAS CON LA SALUD HUMANA"/>
        <s v="VENTA AL POR MENOR DE ARTICULOS ORTOPEDICOS| VENTAS AL POR MENOR DE OTROS PRODUCTOS EN ALMACENES ESPECIALIZADOS N.C| ACTIVIDADES DE ASESORAMIENTO EMPRESARIAL Y EN MATERIA DE GESTION| SERVICIOS DE INGENIERIA PRESTADOS POR EMPRESAS N.C.P.| OTROS SERVICIOS D"/>
      </sharedItems>
    </cacheField>
    <cacheField name="TamanoProveedor" numFmtId="0">
      <sharedItems>
        <s v="Grande"/>
        <s v="Mediana"/>
        <s v="Pequeña"/>
        <s v="Micro"/>
        <s v="N/A"/>
        <s v="NoClasificado"/>
      </sharedItems>
    </cacheField>
    <cacheField name="RegionProveedor" numFmtId="0">
      <sharedItems>
        <s v="Región Metropolitana de Santiago"/>
        <s v="Región del Biobío"/>
        <s v="Región del Libertador General Bernardo O´Higgins"/>
        <s v="Región de la Araucanía"/>
      </sharedItems>
    </cacheField>
    <cacheField name="CodigoProductoONU" numFmtId="0">
      <sharedItems containsSemiMixedTypes="0" containsString="0" containsNumber="1" containsInteger="1">
        <n v="8.5121902E7"/>
        <n v="5.1191905E7"/>
        <n v="5.1142106E7"/>
        <n v="5.1131514E7"/>
        <n v="5.1141704E7"/>
        <n v="5.1181722E7"/>
        <n v="5.1142801E7"/>
        <n v="5.1181508E7"/>
        <n v="5.1181707E7"/>
        <n v="5.117191E7"/>
        <n v="5.1182101E7"/>
        <n v="5.1161708E7"/>
        <n v="5.1131909E7"/>
        <n v="5.1161626E7"/>
        <n v="5.1191603E7"/>
        <n v="5.1111507E7"/>
        <n v="5.1141518E7"/>
        <n v="5.120151E7"/>
        <n v="5.1101572E7"/>
        <n v="5.1171605E7"/>
        <n v="5.1141513E7"/>
        <n v="5.1191902E7"/>
        <n v="5.110271E7"/>
        <n v="5.110153E7"/>
        <n v="5.1241114E7"/>
        <n v="5.1121807E7"/>
        <n v="5.1161703E7"/>
        <n v="5.1142934E7"/>
        <n v="4.2281601E7"/>
        <n v="5.1151738E7"/>
        <n v="4.2281711E7"/>
        <n v="5.1152002E7"/>
        <n v="5.124112E7"/>
        <n v="5.1141703E7"/>
        <n v="5.1142232E7"/>
        <n v="5.1241115E7"/>
        <n v="5.1102707E7"/>
        <n v="5.1141725E7"/>
        <n v="1.2191601E7"/>
        <n v="5.1142601E7"/>
        <n v="5.1171608E7"/>
        <n v="5.1142148E7"/>
        <n v="5.1131607E7"/>
        <n v="5.1101597E7"/>
        <n v="5.1161615E7"/>
        <n v="5.1121603E7"/>
        <n v="5.1171631E7"/>
        <n v="5.3131608E7"/>
        <n v="5.1101567E7"/>
        <n v="5.1102332E7"/>
        <n v="5.1142904E7"/>
        <n v="5.1151703E7"/>
        <n v="5.1181805E7"/>
        <n v="4.2294705E7"/>
        <n v="5.1121707E7"/>
        <n v="5.1171806E7"/>
        <n v="5.1121718E7"/>
        <n v="5.1131808E7"/>
        <n v="5.1142235E7"/>
        <n v="5.1142618E7"/>
        <n v="5.124122E7"/>
        <n v="5.1142149E7"/>
        <n v="5.1121515E7"/>
        <n v="5.1191507E7"/>
        <n v="5.1191506E7"/>
        <n v="5.1191601E7"/>
        <n v="5.1121809E7"/>
        <n v="5.1181742E7"/>
        <n v="1.1101707E7"/>
        <n v="5.1201501E7"/>
        <n v="5.1181718E7"/>
        <n v="5.1181818E7"/>
        <n v="5.1121504E7"/>
        <n v="5.1161812E7"/>
        <n v="5.1191802E7"/>
        <n v="5.1181813E7"/>
        <n v="5.1172101E7"/>
        <n v="5.1171816E7"/>
        <n v="5.1181605E7"/>
        <n v="2.6111706E7"/>
        <n v="1.2162205E7"/>
        <n v="5.1141808E7"/>
        <n v="5.1182203E7"/>
        <n v="5.1101538E7"/>
        <n v="4.1116201E7"/>
        <n v="5.1121713E7"/>
        <n v="1.1101511E7"/>
        <n v="5.1141526E7"/>
        <n v="5.1142121E7"/>
        <n v="5.1171913E7"/>
        <n v="5.1141617E7"/>
        <n v="5.1121818E7"/>
        <n v="5.1151801E7"/>
        <n v="5.1181517E7"/>
        <n v="5.1142131E7"/>
        <n v="5.114181E7"/>
        <n v="5.1121709E7"/>
        <n v="5.1151812E7"/>
        <n v="5.1101807E7"/>
        <n v="5.1121602E7"/>
        <n v="5.1191517E7"/>
      </sharedItems>
    </cacheField>
    <cacheField name="DescripcionItem" numFmtId="0">
      <sharedItems>
        <s v="BENRALIZUMAB 30 MG JERINGA PRELLENADA"/>
        <s v="RILPIRIVINA - CABOTEGRAVIR 900-600 MG FA"/>
        <s v="DENOSUMAB 60 MG ML SOLUCIÓN INYECTABLE"/>
        <s v="IBUPROFENO 10 MG/2 ML AMP"/>
        <s v="CARBOXIMALTOSA DE HIERRO SOLUCIÓN INYECTABLE 500 MG/10 ML, AMP"/>
        <s v="RISPERIDONA 37,5 MG FA POLVO LIOFILIZADO"/>
        <s v="FLUTICASONA 50 MCG INHALADOR BUCAL (ASMA BRONQUIAL)"/>
        <s v="RILUZOL 5 MG/ML JBE"/>
        <s v="GLUCAGON 1MG LIOF SOL INYECT FAM"/>
        <s v="SOFOSBUVIR-VELPATASVIR 400-100 MG CM"/>
        <s v="METILPREDNISOLONA ACETATO 80 MG."/>
        <s v="METILPREDNISOLONA ACETATO 80 MG"/>
        <s v="PANCREOLIPASA 5.000 UI GRANULOS FRASCO 20 GR."/>
        <s v="FLUTICASONA PROPIONATO MICRONIZADO 50 MCG AEROSOL PARA INHALACION ORAL (SIN ALCOHOL)"/>
        <s v="METILPREDNISOLONA 1G LIOF IV-IM FAN"/>
        <s v="DESMOPRESINA 100 MCG/1ML FRA 5 A 6 ML"/>
        <s v="AMBRISENTAM 10 MG CM"/>
        <s v="RH-DORNASA-ALFA SOL. INHALACION 2,5 MG 2,5 ML AMP"/>
        <s v="ALBUMINA HUMANA 20% SOL. PERF.IV FAM 50ML"/>
        <s v="AMBRISETAN 10 MG CM"/>
        <s v="LECHE SUSTITUTA DELECHE MATERNA NAN 1 800 GR."/>
        <s v="DEUCRAVACITINIB 6 MG CM"/>
        <s v="CICLOFOSFAMIDA 1G FA POLVO LIOFILIZADO"/>
        <s v="LEVETIRACETAM 100 MG ML TIPO KEPPRA"/>
        <s v="CARBAMAZEPINA 100 MG 5 ML SO JBE"/>
        <s v="BIFIDOBACTERIUM BB-12 PROBIOTICOS EN GOTAS"/>
        <s v="IMIQUIMOD 5% CREMA"/>
        <s v="AZITROMICINA 500 MG IV"/>
        <s v="BIFIDOBACTERIUM, BB-12 PROBIOTICOS EN GOTAS"/>
        <s v="LACTULOSA 65-66 1000 ML"/>
        <s v="CARBAMAZEPINA 100 MG 5ML SOLUCIÓN ORAL"/>
        <s v="AMINOACIDOS 10% PARA ADMINISTRACION I.V."/>
        <s v="AMINOACIDOS 15%"/>
        <s v="ALCOHOL ETILICO 99° ML BIDÓN 2,5 LT Características Técnicas Alcohol Absoluto 99 grados. Peso molecular: 46.07 g/mol Punto de ebullición: 78.37 °C Solubilidad en agua: miscible en todas proporciones Densidad: 0.789 g/cm³ a 20 °C Índice de refracción: 1.36"/>
        <s v="COTRIMOXAZOL 80 / 400 FORTE JBE"/>
        <s v="PILOCARPINA 4% SOLUCION OFTALMICA"/>
        <s v="COMPLEMENTO NUTRICIONAL ADULTO NORMAL .SABOR VAINILLA, FRUTILLA, CHOCOLATE. Nutrición Completa y Balanceada que contenga Fibra Prebiótica FOS ,sin Lactosa y sin Gluten. Densidad calórica: 230kcal en dilución normal con agua (230 ml) , Osmolaridad: 390 mO"/>
        <s v="POLIDOCANOL 2% 2 ML"/>
        <s v="BUDESONIDA FORMOTEROL FUMARATO 160/4,5 MCG"/>
        <s v="BUDESONIDA FORMOTEROL FUMARATO 160/4,5 MCG BUCAL"/>
        <s v="KETAMINA SOL INY 500 MG/10 ML"/>
        <s v="CLORHEXIDINA 5% TINTURA 125 ML"/>
        <s v="LEVETIRACETAM 100 MG ML SOLUCIÓN ORAL"/>
        <s v="FENOTEROL BROMHIDRATO 0,5 MG + IPATROPIO BROMURO 0,25 MG / ML"/>
        <s v="CIANOCOBALAMINA 50 MCG 5 ML JBE"/>
        <s v="ALCOHOL ABSOLUTO = 99° PA, BIDON 2,5 LITROS."/>
        <s v="MIVACUORIO 10MG/5ML AM"/>
        <s v="LUBRICANTE OCULAR QUE CONTENGA CARBOMERO (0,2-0,25,0,3 GR / 100 GR) GEL"/>
        <s v="OLANZAPINA 10 MG BUCODISPERSABLE"/>
        <s v="REMIFENTANILO CLORHIDRATO 1 MG FA"/>
        <s v="TIMOLOL MALEATO 0,5% SOL OFT"/>
        <s v="LACTOBACILLUS REUTERI PROTECTIS 5 ML GOTAS"/>
        <s v="CLORHEXIDINA 2% ACUOSA TOPICA 500 ML"/>
        <s v="VITAMINAS HIDROSUBLES USO IV INFANTIL - ADULTO (QUE CONTENGA 9 VITAMINAS HIDROSOLUBLES)"/>
        <s v="FLUTICASONA 27,5 MCG/DO SUSP. NAS."/>
        <s v="ZIPRASIDONA 40 MG CP"/>
        <s v="ALCOHOL ISOPROPILICO LT. PUREZA x C.G 99.96% - HUMEDAD s/KF 0.019000% - P.ESPECIFICOS 20°C 0.7865 g/cc - ACIDEZ 0.0009% - COLOR APHA 3 - RANGO DESTILACION(°C) 81°-83°C - MAT.NO VOLATIL 0.4 m/g/100ml - ASPECTOS :LIQUIDO INCOLORO TRANSPARENTE."/>
        <s v="TETRABENAZINA 25 MG CM"/>
        <s v="CLORHEXIDINA 2% TINTURA ( BASE ALCOHOLICA ) 125 ML"/>
        <s v="GLICERINA LIQUIDA USP LT."/>
        <s v="FITOMENADIONA 10 MG ML ADMINISTRACIÓN vía EV (endovenoso)"/>
        <s v="VITAMINA A-C-D FRA GOTAS"/>
        <s v="GEL VISCOSO COADYUVANTE EN TRATAMIENTO DE LESIONES DE LA MUCOSA BUCAL QUE CONTIENE: HIALURONATO DE SODIO, ÁCIDO GLICIRRETÍNICO, POLIVINILPIRROLIDON A (PVP), MALTODEXTRINA, PROPILENGLICOL"/>
        <s v="FITOMENADIONA 10 MG ML ADMINISTRACIÓN I.V."/>
        <s v="ENOXAPARINA SODICA 80 MG 0,8 ML"/>
        <s v="ENOXAPARINA SODICA 80 MG 0,8 ML JGA"/>
        <s v="BICTEGRAVIR /EMTRICITABINA /TENOFOVIR ALAFENAMIDA FUMARATO 50/200/25 MG CM"/>
        <s v="MUPIROCINA 2% TOPICO"/>
        <s v="FAMPRIDINA 10 MG CM"/>
        <s v="LEVOCETIRIZINA 5 MG ML GTS"/>
        <s v="NITROGLICERINA 50MG/10ML SOL. INY. AM/FAM"/>
        <s v="OLANZAPINA 5 MG BUCODISPERSABLE"/>
        <s v="KETAMINA CLOR, 500 MG/10 ML FA"/>
        <s v="JALEA LAXANTE CUYA COMPOSICIÓN CONTENGA C/100 G 8G DE PC HOJA DE SEN. EG POLVO DE RIZOMA Y RAIZ DE ORORUZ Y PULPA DE CIRUELA (O SIMILAR)"/>
        <s v="JABÓN NEUTRO BS 800 ML"/>
        <s v="SULBACTAM / AMPICILINA 500-1000 MG FAM"/>
        <s v="TENOFOVIR/LAMIVUDINA/DOLUTEGRAVIR 300/300/50 MG CM"/>
        <s v="LIDOCAINA 2% GEL ORAL"/>
        <s v="EPINEFRINA 1MG/1ML AMP"/>
        <s v="OLANZAPINA 5 MG CM BUCODISPERSABLES"/>
        <s v="LEVONORGESTREL 0,75 MG CM"/>
        <s v="FORMALINA TAMPONADA LT"/>
        <s v="CINTA (TIRA) DE CETONEMIA A_BGM09 FREESTYLE OPTIUM NEOKETONES"/>
        <s v="LEVOCETIRIZINA 2,5 MG 5 ML"/>
        <s v="SUPLEMENTO MULTIVITAMINICO C VIT A,D,E,K CM (FIBROSIS QUISTICA)"/>
        <s v="VERAPAMILO 5 MG 2 ML AMP"/>
        <s v="DOMPERIDONA FCO 10 MG ML"/>
        <s v="CLONIDINA CLORHIDRATO 100 MCG CM"/>
        <s v="ÁCIDO TRANEXAMICO 500 MG CM"/>
        <s v="VITAMINA B1/B6/B12 AMP"/>
        <s v="ÁCIDO TRANEXÁMICO 500 MG CM"/>
        <s v="ALCOHOL ETILICO 70° FCO 250 ML"/>
        <s v="TRAMADOL 100 MG / ML SOLUCION ORAL (1 ML = 40 GOTAS)"/>
        <s v="ISOTRETINOINA 20 MG CP"/>
        <s v="METILFENIDATO 36 MG CM LP"/>
        <s v="TRAMADOL 100 MG ML GTS (1 ML = 40 GOTAS)"/>
        <s v="METILFENIDATO 27 MG CM LIBERACIÓN PROLONGADA"/>
        <s v="ISOTRETINOINA 20 MG CAP"/>
        <s v="GLUCOSA 50% 20 ML SOLUCIÓN INYECTABLE AMP"/>
        <s v="FLECAINIDA 100 MG CM"/>
        <s v="METILFENIDATO 36 MG CM"/>
        <s v="EPLERENONA 50 MG CM"/>
        <s v="METILFENIDATO 27 MG CM"/>
        <s v="ESPIRONOLACTONA 100 MG CM"/>
        <s v="CINACALCET 60 MG CM"/>
        <s v="SOLIFENACINA SUCCINATO 5 MG CM"/>
        <s v="METILFENIDATO 18 MG CM LP"/>
        <s v="AMILORIDA 5 MG CM"/>
        <s v="GLUCOSA 5% MTZ ENVASE SEMIRIGIDO 250 ML"/>
        <s v="PETIDINA 100 MG 2 ML SOL INY"/>
        <s v="FENOFIBRATO 200 MG CM"/>
        <s v="CLOBETASOL 0.05 % CREMA"/>
        <s v="MAGNESIO LACTATO 835 MG CM LP"/>
        <s v="SEVELAMER 800 MG CM"/>
        <s v="PIRFENIDONA 267 MG CP"/>
        <s v="FLECAINIDA ACETATO 100 MG CM"/>
        <s v="DEFLAZACORT 6 MG CM"/>
        <s v="PROGESTERONA 100 MG CP"/>
        <s v="OLANZAPINA BUCODISPERSABLE 5 MG CM"/>
        <s v="ALFACETOANALOGOS DE AMINOACIDOS"/>
        <s v="CLONIDINA 0,1 MG CM"/>
        <s v="VITAMINA B1/B6/B12 CM"/>
        <s v="VITAMINAS COMPLEJO B CON APORTE DE 1000 MCG CIANOCOBALAMINA CP"/>
        <s v="POTASIO CLORURO 600 MG CM LIBERACIÓN PROLONGADA"/>
        <s v="ESTRADIOL 17 B 1 MG CM"/>
        <s v="PARGEVERINA AM 5 MG ML"/>
        <s v="SALES REHIDRATANTES 90 MEQ SODIO"/>
        <s v="CIANOCOBALAMINA 1000 MG CP"/>
        <s v="ONDANSETRON 2MG/ML SOL. INY. A. O FAM 2ML"/>
        <s v="LIDOCAINA HCI 2% 5 ML"/>
        <s v="TIAMAZOL 5 MG CM"/>
        <s v="PILAS N°13 AUDÍFONOS"/>
        <s v="CALCIO CITRATO TETRAHIDRATADO / VITAMINA D3 ( C ) 313 MG / 400 UI"/>
        <s v="ZOLPIDEM 10 MG CM"/>
        <s v="PILAS AUDIFONO N°13"/>
        <s v="PILAS AUDIFONO N°675"/>
        <s v="PILAS AUDIFONO N°312"/>
        <s v="OXITOCINA SINTETICA AM 5 UI"/>
        <s v="LEVOFLOXACINO 500 MG CM"/>
        <s v="LEVETIRACETAM 1000 MG CM"/>
        <s v="CINTA GLICEMIA CARE SENS N VOICE (AUDIBLE PARA PACIENTE NO VIDENTE)"/>
        <s v="DILTIAZEM 60 MG CM"/>
        <s v="PRIMIDONA 250 MG CM"/>
        <s v="DICLOFENACO 12,5 MG SUP"/>
        <s v="CALCIO CITRATO TETRAHIDRATADO - VITAMINA D3 (C) 313 MG 400 UI CP"/>
        <s v="TIAMINA CLORHIDRATO 10 MG CM"/>
        <s v="ESOMEPRAZOL MAGNÉSICO 20 MG CM"/>
        <s v="CITALOPRAM 20 MG CM"/>
        <s v="POLIVITAMINICO (ACIDO ASCORBICO, CIANOCOBALAMINA, ERGOCALCIFEROL, NIACINAMIDA, PIRIDOXINA, RETINOL, RIBOFLAVINA, TIAMINA) NO DEBE CONTENER CAFEINA Y GINSENG"/>
        <s v="TRAMADOL 50 MG CM"/>
        <s v="ATORVASTATINA 40 MG CM"/>
        <s v="ATENOLOL 100 MG CM"/>
        <s v="METFORMINA CLORHIDRATO 850 MG CM"/>
        <s v="AMLODIPINO 10 MG CM"/>
        <s v="CELECOXIB 200 MG CP"/>
        <s v="ZOPICLONA 7,5 MG CM"/>
        <s v="CARVEDILOL 6,25 MG CM"/>
        <s v="PROPRANOLOL 10 MG CM"/>
        <s v="AMLODIPINO 5 MG CM"/>
        <s v="FLUOXETINA 20 MG CM"/>
        <s v="ISOSORBIDE DINITRATO 10 MG CM"/>
      </sharedItems>
    </cacheField>
    <cacheField name="CantidadItem" numFmtId="167">
      <sharedItems containsSemiMixedTypes="0" containsString="0" containsNumber="1" containsInteger="1">
        <n v="2.0"/>
        <n v="3.0"/>
        <n v="4.0"/>
        <n v="8.0"/>
        <n v="1.0"/>
        <n v="10.0"/>
        <n v="30.0"/>
        <n v="28.0"/>
        <n v="56.0"/>
        <n v="35.0"/>
        <n v="40.0"/>
        <n v="39.0"/>
        <n v="19.0"/>
        <n v="5.0"/>
        <n v="120.0"/>
        <n v="190.0"/>
        <n v="180.0"/>
        <n v="48.0"/>
        <n v="240.0"/>
        <n v="20.0"/>
        <n v="60.0"/>
        <n v="50.0"/>
        <n v="70.0"/>
        <n v="210.0"/>
        <n v="100.0"/>
        <n v="220.0"/>
        <n v="64.0"/>
        <n v="150.0"/>
        <n v="25.0"/>
        <n v="72.0"/>
        <n v="90.0"/>
        <n v="350.0"/>
        <n v="500.0"/>
        <n v="160.0"/>
        <n v="280.0"/>
        <n v="21.0"/>
        <n v="201.0"/>
        <n v="400.0"/>
        <n v="600.0"/>
        <n v="420.0"/>
        <n v="300.0"/>
        <n v="168.0"/>
        <n v="900.0"/>
        <n v="460.0"/>
        <n v="14.0"/>
        <n v="740.0"/>
        <n v="960.0"/>
        <n v="200.0"/>
        <n v="972.0"/>
        <n v="360.0"/>
        <n v="1200.0"/>
        <n v="1800.0"/>
        <n v="450.0"/>
        <n v="588.0"/>
        <n v="192.0"/>
        <n v="1500.0"/>
        <n v="2160.0"/>
        <n v="3000.0"/>
        <n v="800.0"/>
        <n v="1440.0"/>
        <n v="3600.0"/>
        <n v="7200.0"/>
        <n v="2100.0"/>
        <n v="6480.0"/>
        <n v="1080.0"/>
        <n v="140.0"/>
        <n v="11340.0"/>
        <n v="7500.0"/>
        <n v="1020.0"/>
        <n v="1000.0"/>
        <n v="12000.0"/>
        <n v="6000.0"/>
        <n v="3360.0"/>
        <n v="990.0"/>
        <n v="9000.0"/>
        <n v="2000.0"/>
        <n v="14700.0"/>
        <n v="31000.0"/>
        <n v="45000.0"/>
        <n v="6500.0"/>
        <n v="2800.0"/>
        <n v="9045.0"/>
        <n v="14070.0"/>
      </sharedItems>
    </cacheField>
    <cacheField name="UnidadMedida" numFmtId="0">
      <sharedItems>
        <s v="Unidad"/>
        <s v="Frasco Ampolla"/>
        <s v="Ampolla"/>
        <s v="Frasco"/>
        <s v="Comprimido"/>
        <s v="Tarro"/>
        <s v="Litro"/>
        <s v="Bidón"/>
        <s v="Tubo"/>
        <s v="Cápsula"/>
        <s v="Sachet"/>
        <s v="Pote"/>
        <s v="Tira"/>
        <s v="Sobre"/>
        <s v="Supositorio"/>
      </sharedItems>
    </cacheField>
    <cacheField name="MontoNetoItem" numFmtId="3">
      <sharedItems containsSemiMixedTypes="0" containsString="0" containsNumber="1" containsInteger="1">
        <n v="1594758.0"/>
        <n v="506000.0"/>
        <n v="282224.0"/>
        <n v="197500.0"/>
        <n v="141500.0"/>
        <n v="130000.0"/>
        <n v="70001.0"/>
        <n v="67765.0"/>
        <n v="52690.0"/>
        <n v="51000.0"/>
        <n v="37252.0"/>
        <n v="35478.0"/>
        <n v="34805.0"/>
        <n v="34350.0"/>
        <n v="34088.0"/>
        <n v="34033.0"/>
        <n v="33750.0"/>
        <n v="33148.0"/>
        <n v="30500.0"/>
        <n v="30000.0"/>
        <n v="29676.0"/>
        <n v="25800.0"/>
        <n v="23444.0"/>
        <n v="21238.0"/>
        <n v="18000.0"/>
        <n v="16900.0"/>
        <n v="16677.0"/>
        <n v="16272.0"/>
        <n v="15925.0"/>
        <n v="15161.0"/>
        <n v="14144.0"/>
        <n v="13800.0"/>
        <n v="12900.0"/>
        <n v="12788.0"/>
        <n v="12500.0"/>
        <n v="12438.0"/>
        <n v="12288.0"/>
        <n v="11990.0"/>
        <n v="11000.0"/>
        <n v="10873.0"/>
        <n v="10300.0"/>
        <n v="10000.0"/>
        <n v="9500.0"/>
        <n v="8475.0"/>
        <n v="7766.0"/>
        <n v="7375.0"/>
        <n v="7059.0"/>
        <n v="6942.0"/>
        <n v="6307.0"/>
        <n v="6154.0"/>
        <n v="6010.0"/>
        <n v="6000.0"/>
        <n v="5736.0"/>
        <n v="5648.0"/>
        <n v="5647.0"/>
        <n v="5394.0"/>
        <n v="5059.0"/>
        <n v="4850.0"/>
        <n v="4730.0"/>
        <n v="4543.0"/>
        <n v="4500.0"/>
        <n v="4359.0"/>
        <n v="4200.0"/>
        <n v="4100.0"/>
        <n v="4070.0"/>
        <n v="4015.0"/>
        <n v="4000.0"/>
        <n v="3999.0"/>
        <n v="3867.0"/>
        <n v="3700.0"/>
        <n v="3630.0"/>
        <n v="3507.0"/>
        <n v="3504.0"/>
        <n v="3222.0"/>
        <n v="3141.0"/>
        <n v="3038.0"/>
        <n v="2949.0"/>
        <n v="2806.0"/>
        <n v="2598.0"/>
        <n v="2300.0"/>
        <n v="2263.0"/>
        <n v="2190.0"/>
        <n v="2184.0"/>
        <n v="2179.0"/>
        <n v="2150.0"/>
        <n v="1950.0"/>
        <n v="1813.0"/>
        <n v="1759.0"/>
        <n v="1705.0"/>
        <n v="1667.0"/>
        <n v="1600.0"/>
        <n v="1570.0"/>
        <n v="1495.0"/>
        <n v="1462.0"/>
        <n v="1450.0"/>
        <n v="1317.0"/>
        <n v="1260.0"/>
        <n v="1157.0"/>
        <n v="1024.0"/>
        <n v="1000.0"/>
        <n v="975.0"/>
        <n v="960.0"/>
        <n v="946.0"/>
        <n v="900.0"/>
        <n v="872.0"/>
        <n v="851.0"/>
        <n v="828.0"/>
        <n v="802.0"/>
        <n v="800.0"/>
        <n v="795.0"/>
        <n v="763.0"/>
        <n v="725.0"/>
        <n v="700.0"/>
        <n v="682.0"/>
        <n v="660.0"/>
        <n v="657.0"/>
        <n v="607.0"/>
        <n v="554.0"/>
        <n v="547.0"/>
        <n v="520.0"/>
        <n v="519.0"/>
        <n v="495.0"/>
        <n v="480.0"/>
        <n v="477.0"/>
        <n v="475.0"/>
        <n v="450.0"/>
        <n v="433.0"/>
        <n v="407.0"/>
        <n v="406.0"/>
        <n v="375.0"/>
        <n v="357.0"/>
        <n v="354.0"/>
        <n v="350.0"/>
        <n v="330.0"/>
        <n v="319.0"/>
        <n v="315.0"/>
        <n v="300.0"/>
        <n v="288.0"/>
        <n v="270.0"/>
        <n v="212.0"/>
        <n v="210.0"/>
        <n v="200.0"/>
        <n v="199.0"/>
        <n v="192.0"/>
        <n v="185.0"/>
        <n v="184.0"/>
        <n v="159.0"/>
        <n v="150.0"/>
        <n v="130.0"/>
        <n v="128.0"/>
        <n v="116.0"/>
        <n v="110.0"/>
        <n v="108.0"/>
        <n v="90.0"/>
        <n v="73.0"/>
        <n v="72.0"/>
        <n v="64.0"/>
        <n v="42.0"/>
        <n v="39.0"/>
        <n v="38.0"/>
        <n v="36.0"/>
        <n v="35.0"/>
        <n v="32.0"/>
        <n v="28.0"/>
        <n v="21.0"/>
        <n v="19.0"/>
        <n v="17.0"/>
        <n v="16.0"/>
        <n v="15.0"/>
        <n v="14.0"/>
      </sharedItems>
    </cacheField>
    <cacheField name="MontoTotalItem" numFmtId="166">
      <sharedItems containsSemiMixedTypes="0" containsString="0" containsNumber="1" containsInteger="1">
        <n v="3189516.0"/>
        <n v="1518000.0"/>
        <n v="564448.0"/>
        <n v="1128896.0"/>
        <n v="1580000.0"/>
        <n v="141500.0"/>
        <n v="1300000.0"/>
        <n v="2100030.0"/>
        <n v="271060.0"/>
        <n v="526900.0"/>
        <n v="1428000.0"/>
        <n v="2856000.0"/>
        <n v="1303820.0"/>
        <n v="1419120.0"/>
        <n v="1044150.0"/>
        <n v="1339650.0"/>
        <n v="1363520.0"/>
        <n v="646627.0"/>
        <n v="168750.0"/>
        <n v="994440.0"/>
        <n v="3660000.0"/>
        <n v="5700000.0"/>
        <n v="5341680.0"/>
        <n v="1238400.0"/>
        <n v="5626560.0"/>
        <n v="637140.0"/>
        <n v="540000.0"/>
        <n v="338000.0"/>
        <n v="1000620.0"/>
        <n v="325440.0"/>
        <n v="796250.0"/>
        <n v="303220.0"/>
        <n v="990080.0"/>
        <n v="424320.0"/>
        <n v="2898000.0"/>
        <n v="619200.0"/>
        <n v="1278800.0"/>
        <n v="125000.0"/>
        <n v="2750000.0"/>
        <n v="621900.0"/>
        <n v="122880.0"/>
        <n v="767360.0"/>
        <n v="220000.0"/>
        <n v="1630950.0"/>
        <n v="1087300.0"/>
        <n v="257500.0"/>
        <n v="720000.0"/>
        <n v="600000.0"/>
        <n v="950000.0"/>
        <n v="762750.0"/>
        <n v="465960.0"/>
        <n v="1327500.0"/>
        <n v="423540.0"/>
        <n v="2429700.0"/>
        <n v="3153500.0"/>
        <n v="123080.0"/>
        <n v="961600.0"/>
        <n v="120000.0"/>
        <n v="180000.0"/>
        <n v="344160.0"/>
        <n v="1581440.0"/>
        <n v="564700.0"/>
        <n v="970920.0"/>
        <n v="303540.0"/>
        <n v="242500.0"/>
        <n v="567600.0"/>
        <n v="681450.0"/>
        <n v="135000.0"/>
        <n v="435900.0"/>
        <n v="88200.0"/>
        <n v="824100.0"/>
        <n v="1628000.0"/>
        <n v="1124200.0"/>
        <n v="2399400.0"/>
        <n v="1624140.0"/>
        <n v="1110000.0"/>
        <n v="72600.0"/>
        <n v="589176.0"/>
        <n v="350400.0"/>
        <n v="161100.0"/>
        <n v="1570500.0"/>
        <n v="455700.0"/>
        <n v="2654100.0"/>
        <n v="1290760.0"/>
        <n v="2338200.0"/>
        <n v="414000.0"/>
        <n v="67890.0"/>
        <n v="1095000.0"/>
        <n v="611520.0"/>
        <n v="30506.0"/>
        <n v="1591000.0"/>
        <n v="234000.0"/>
        <n v="195000.0"/>
        <n v="543900.0"/>
        <n v="175900.0"/>
        <n v="153450.0"/>
        <n v="1600320.0"/>
        <n v="480000.0"/>
        <n v="628000.0"/>
        <n v="299000.0"/>
        <n v="292400.0"/>
        <n v="870000.0"/>
        <n v="1280124.0"/>
        <n v="453600.0"/>
        <n v="1388400.0"/>
        <n v="921600.0"/>
        <n v="1755000.0"/>
        <n v="230400.0"/>
        <n v="425700.0"/>
        <n v="450000.0"/>
        <n v="261600.0"/>
        <n v="255300.0"/>
        <n v="248400.0"/>
        <n v="240600.0"/>
        <n v="320000.0"/>
        <n v="715500.0"/>
        <n v="467460.0"/>
        <n v="1373400.0"/>
        <n v="217500.0"/>
        <n v="280000.0"/>
        <n v="130944.0"/>
        <n v="66000.0"/>
        <n v="591300.0"/>
        <n v="910500.0"/>
        <n v="83100.0"/>
        <n v="820500.0"/>
        <n v="936000.0"/>
        <n v="1121040.0"/>
        <n v="155700.0"/>
        <n v="148500.0"/>
        <n v="144000.0"/>
        <n v="286200.0"/>
        <n v="572400.0"/>
        <n v="142500.0"/>
        <n v="1350000.0"/>
        <n v="360000.0"/>
        <n v="129900.0"/>
        <n v="586080.0"/>
        <n v="487200.0"/>
        <n v="321300.0"/>
        <n v="177000.0"/>
        <n v="106200.0"/>
        <n v="525000.0"/>
        <n v="594000.0"/>
        <n v="191400.0"/>
        <n v="945000.0"/>
        <n v="60000.0"/>
        <n v="1944000.0"/>
        <n v="318000.0"/>
        <n v="189000.0"/>
        <n v="420000.0"/>
        <n v="1289520.0"/>
        <n v="214920.0"/>
        <n v="119400.0"/>
        <n v="115200.0"/>
        <n v="55500.0"/>
        <n v="25760.0"/>
        <n v="1803060.0"/>
        <n v="270000.0"/>
        <n v="975000.0"/>
        <n v="130560.0"/>
        <n v="174000.0"/>
        <n v="110000.0"/>
        <n v="64800.0"/>
        <n v="81000.0"/>
        <n v="876000.0"/>
        <n v="438000.0"/>
        <n v="241920.0"/>
        <n v="63360.0"/>
        <n v="378000.0"/>
        <n v="78000.0"/>
        <n v="228000.0"/>
        <n v="558600.0"/>
        <n v="72000.0"/>
        <n v="1085000.0"/>
        <n v="105000.0"/>
        <n v="384000.0"/>
        <n v="201600.0"/>
        <n v="110500.0"/>
        <n v="44800.0"/>
        <n v="135675.0"/>
        <n v="196980.0"/>
      </sharedItems>
    </cacheField>
    <cacheField name="CodigoCotizacion" numFmtId="0">
      <sharedItems>
        <s v="1058012-191-COT25"/>
        <s v="1058012-497-COT24"/>
        <s v="1058012-15-COT24"/>
        <s v="1058012-408-COT25"/>
        <s v="1058012-465-COT25"/>
        <s v="1058012-420-COT24"/>
        <s v="1058012-269-COT24"/>
        <s v="1058012-380-COT25"/>
        <s v="1058012-161-COT25"/>
        <s v="1058012-20-COT24"/>
        <s v="1058012-372-COT25"/>
        <s v="1058012-671-COT24"/>
        <s v="1058012-684-COT24"/>
        <s v="1058012-459-COT25"/>
        <s v="1058012-262-COT24"/>
        <s v="1058012-447-COT25"/>
        <s v="1058012-506-COT24"/>
        <s v="1058012-457-COT24"/>
        <s v="1058012-374-COT25"/>
        <s v="1058012-370-COT25"/>
        <s v="1058012-370-COT24"/>
        <s v="1058012-239-COT25"/>
        <s v="1058012-397-COT25"/>
        <s v="1058012-428-COT25"/>
        <s v="1058012-766-COT23"/>
        <s v="1058012-398-COT25"/>
        <s v="1058012-235-COT25"/>
        <s v="1058012-494-COT25"/>
        <s v="1058012-533-COT25"/>
        <s v="1058012-220-COT25"/>
        <s v="1058012-296-COT25"/>
        <s v="1058012-119-COT25"/>
        <s v="1058012-135-COT25"/>
        <s v="1058012-146-COT25"/>
        <s v="1058012-437-COT25"/>
        <s v="1058012-452-COT25"/>
        <s v="1058012-402-COT24"/>
        <s v="1058012-204-COT25"/>
        <s v="1058012-31-COT25"/>
        <s v="1057402-478-COT25"/>
        <s v="1058012-208-COT25"/>
        <s v="1058012-469-COT25"/>
        <s v="1058012-150-COT24"/>
        <s v="1058012-106-COT24"/>
        <s v="1058012-511-COT24"/>
        <s v="1058012-543-COT24"/>
        <s v="1058012-662-COT24"/>
        <s v="1057402-936-COT24"/>
        <s v="1058012-428-COT24"/>
        <s v="1058012-655-COT24"/>
        <s v="1058012-11-COT25"/>
        <s v="1058012-368-COT24"/>
        <s v="1057402-857-COT24"/>
        <s v="1058012-460-COT25"/>
        <s v="1058012-553-COT25"/>
        <s v="1058012-674-COT24"/>
        <s v="1058012-538-COT24"/>
        <s v="1058012-278-COT24"/>
        <s v="1058012-557-COT24"/>
        <s v="1058012-390-COT25"/>
        <s v="1057402-1234-COT24"/>
        <s v="1058012-487-COT24"/>
        <s v="1058012-613-COT24"/>
        <s v="1058012-144-COT24"/>
        <s v="1058012-203-COT25"/>
        <s v="1057402-462-COT24"/>
        <s v="1058012-166-COT25"/>
        <s v="1057402-295-COT25"/>
        <s v="1057402-1107-COT25"/>
        <s v="1058012-326-COT25"/>
        <s v="1058012-196-COT24"/>
        <s v="1058012-454-COT25"/>
        <s v="1058012-129-COT25"/>
        <s v="1057402-144-COT24"/>
        <s v="1058012-464-COT25"/>
        <s v="1058012-490-COT25"/>
        <s v="1058012-351-COT24"/>
        <s v="1058012-210-COT25"/>
        <s v="1058012-286-COT25"/>
        <s v="1058012-324-COT24"/>
        <s v="1058012-216-COT25"/>
        <s v="1058012-375-COT25"/>
        <s v="1058012-673-COT24"/>
        <s v="1058012-493-COT24"/>
        <s v="1058012-457-COT25"/>
        <s v="1057402-143-COT24"/>
        <s v="1058012-436-COT25"/>
        <s v="1058012-179-COT24"/>
        <s v="1058012-12-COT25"/>
        <s v="1058012-416-COT25"/>
        <s v="1058012-369-COT24"/>
        <s v="1058012-409-COT24"/>
        <s v="1057402-288-COT24"/>
        <s v="1057402-838-COT24"/>
        <s v="1058012-404-COT24"/>
        <s v="1058012-257-COT25"/>
        <s v="1058012-348-COT24"/>
        <s v="1058012-189-COT24"/>
        <s v="1058012-219-COT25"/>
        <s v="1058012-202-COT25"/>
        <s v="1058012-525-COT24"/>
        <s v="1058012-489-COT24"/>
        <s v="1058012-152-COT25"/>
        <s v="1058012-360-COT24"/>
        <s v="1057402-663-COT24"/>
        <s v="1057402-175-COT24"/>
        <s v="1058012-137-COT25"/>
        <s v="1058012-227-COT25"/>
        <s v="1058012-546-COT25"/>
        <s v="1058012-157-COT25"/>
        <s v="1058012-535-COT25"/>
        <s v="1058012-212-COT25"/>
        <s v="1058012-496-COT24"/>
        <s v="1058012-154-COT25"/>
        <s v="1058012-443-COT24"/>
        <s v="1058012-7-COT25"/>
        <s v="1058012-444-COT24"/>
        <s v="1058012-184-COT25"/>
        <s v="1058012-436-COT24"/>
        <s v="1058012-640-COT24"/>
        <s v="1058012-127-COT25"/>
        <s v="1058012-445-COT24"/>
        <s v="1058012-183-COT25"/>
        <s v="1058012-321-COT25"/>
        <s v="1058012-147-COT24"/>
        <s v="1058012-384-COT25"/>
        <s v="1058012-325-COT24"/>
        <s v="1058012-83-COT24"/>
        <s v="1058012-327-COT24"/>
        <s v="1058012-426-COT24"/>
        <s v="1058012-29-COT24"/>
        <s v="1058012-507-COT24"/>
        <s v="1058012-9-COT25"/>
        <s v="1058012-323-COT24"/>
        <s v="1058012-670-COT24"/>
        <s v="1058012-395-COT25"/>
        <s v="1058012-409-COT25"/>
        <s v="1058012-17-COT24"/>
        <s v="1058012-93-COT25"/>
        <s v="1058012-347-COT24"/>
        <s v="1058012-495-COT25"/>
        <s v="1058012-440-COT25"/>
        <s v="1058012-182-COT25"/>
        <s v="1058012-517-COT25"/>
        <s v="1058012-551-COT25"/>
        <s v="1058012-234-COT24"/>
        <s v="1058012-396-COT25"/>
        <s v="1058012-514-COT24"/>
        <s v="1058012-309-COT25"/>
        <s v="1058012-376-COT25"/>
        <s v="1058012-163-COT24"/>
        <s v="1058012-508-COT24"/>
        <s v="1058012-197-COT25"/>
        <s v="1058012-637-COT24"/>
        <s v="1057402-480-COT25"/>
        <s v="1058012-489-COT25"/>
        <s v="1058012-128-COT25"/>
        <s v="1058012-412-COT25"/>
        <s v="1057402-120-COT24"/>
        <s v="1058012-172-COT25"/>
        <s v="1058012-146-COT24"/>
        <s v="1058012-204-COT24"/>
        <s v="1058012-493-COT25"/>
        <s v="1058012-509-COT24"/>
        <s v="1057402-613-COT25"/>
        <s v="1058012-463-COT25"/>
        <s v="1058012-15-COT25"/>
        <s v="1058012-14-COT25"/>
        <s v="1058012-277-COT24"/>
        <s v="1058012-267-COT24"/>
        <s v="1058012-349-COT24"/>
        <s v="1058012-462-COT24"/>
        <s v="1058012-438-COT24"/>
        <s v="1058012-367-COT24"/>
        <s v="1058012-259-COT25"/>
        <s v="1058012-626-COT24"/>
        <s v="1058012-338-COT25"/>
        <s v="1058012-504-COT24"/>
        <s v="1058012-520-COT24"/>
        <s v="1058012-5-COT25"/>
        <s v="1058012-441-COT24"/>
        <s v="1058012-528-COT24"/>
        <s v="1058012-116-COT25"/>
        <s v="1058012-522-COT25"/>
        <s v="1058012-78-COT24"/>
        <s v="1058012-328-COT24"/>
        <s v="1058012-429-COT25"/>
        <s v="1058012-529-COT24"/>
        <s v="1058012-188-COT24"/>
        <s v="1058012-326-COT24"/>
        <s v="1058012-647-COT24"/>
      </sharedItems>
    </cacheField>
    <cacheField name="DescripcionCotizacion" numFmtId="0">
      <sharedItems>
        <s v="EL HOSPITAL CLÍNICO DE MAGALLANES REQUIERE BENRALIZUMAB 30 MG JGA. INDICAR AL COTIZAR: VALOR UNITARIO TOTAL, PRESENTACIÓN (UD), FECHA VCTO, ADJUNTAR FICHA TÉCNICA Y/O REGISTRO ISP, TIPO DE TRASLADO (ESPECIFICAR, PARA ACORDAR RETIRO CARGO HOSPITAL DE SER N"/>
        <s v="EL HOSPITAL CLÍNICO DE MAGALLANES REQUIERE RILPIRIVINA - CABOTEGRAVIR 900-600 MG FA. INDICAR AL COTIZAR: VALOR UNITARIO TOTAL, PRESENTACIÓN (FA), FECHA VCTO, ADJUNTAR FICHA TÉCNICA Y/O REGISTRO ISP, TIPO DE TRASLADO CARGO PROVEEDOR (ESPECIFICAR, PARA ACOR"/>
        <s v="EL HOSPITAL CLÍNICO DE MAGALLANES REQUIERE CABOTEGRAVIR/RILPIVIRINA 600/900 MF FA. INDICAR AL COTIZAR: VALOR UNITARIO TOTAL, PRESENTACIÓN (ML), FECHA VCTO, ADJUNTAR FICHA TÉCNICA Y/O REGISTRO ISP, TIPO DE TRASLADO (ESPECIFICAR, PARA ACORDAR RETIRO CARGO H"/>
        <s v="EL HOSPITAL CLÍNICO DE MAGALLANES REQUIERE DENOSUMAB 60 MG ML SOL INY. INDICAR AL COTIZAR: VALOR UNITARIO TOTAL, PRESENTACIÓN (UD), FECHA VCTO, ADJUNTAR FICHA TÉCNICA Y/O REGISTRO ISP, TIPO DE TRASLADO Y FECHA ESPECIFICA DE ENTREGA (ESPECIFICAR, PARA ACOR"/>
        <s v="EL HOSPITAL CLÍNICO DE MAGALLANES REQUIERE DENOSUMAB 60 MG ML SOL INY. INDICAR AL COTIZAR: VALOR UNITARIO TOTAL, PRESENTACIÓN (UD), FECHA VCTO, ADJUNTAR FICHA TÉCNICA Y/O REGISTRO ISP, TIPO DE TRASLADO (ESPECIFICAR, PARA ACORDAR RETIRO CARGO HOSPITAL DE S"/>
        <s v="EL HOSPITAL CLÍNICO DE MAGALLANES REQUIERE IBUPROFENO 10 MG/2 ML AMP . INDICAR AL COTIZAR: VALOR UNITARIO TOTAL, PRESENTACIÓN (ML), FECHA VCTO, ADJUNTAR FICHA TÉCNICA Y/O REGISTRO ISP, TIPO DE TRASLADO y ESPECIFICAR FECHA DE ENTREGA, INDICAR SI CUENTA CON"/>
        <s v="EL HOSPITAL CLÍNICO DE MAGALLANES REQUIERE CARBOXIMALTOSA DE HIERRO SOLUCIÓN INYECTABLE 500 MG/10 ML, AMP. INDICAR AL COTIZAR: VALOR UNITARIO TOTAL, PRESENTACIÓN (ML), FECHA VCTO, ADJUNTAR FICHA TÉCNICA Y/O REGISTRO ISP, TIPO DE TRASLADO (ESPECIFICAR, PAR"/>
        <s v="EL HCM REQUIERE RISPERIDONA 37,5 MG FA POLVO LIOFILIZADO. INDICAR FECHA DE ENTREGA EN BODEGA HCM, FACTOR EMPAQUE, FECHA VCTO, ADJUNTAR FICHA TÉCNICA Y/O REGISTRO ISP, TIPO DE TRASLADO. POSTULAR SOLO SI CUENTA CON STOCK PARA DESPACHO INMEDIATO. COMPRA SUJE"/>
        <s v="EL HOSPITAL CLÍNICO DE MAGALLANES REQUIERE FLUTICASONA 50 MCG INHALADOR BUCAL (ASMA BRONQUIAL). INDICAR AL COTIZAR: VALOR UNITARIO TOTAL, PRESENTACIÓN (UD), FECHA VCTO, ADJUNTAR FICHA TÉCNICA Y/O REGISTRO ISP, TIPO DE TRASLADO CARGO PROVEEDOR (ESPECIFICAR"/>
        <s v="EL HOSPITAL CLÍNICO DE MAGALLANES REQUIERE RILUZOL 5 MG/ML JBE. INDICAR AL COTIZAR: VALOR UNITARIO TOTAL, PRESENTACIÓN (ML), FECHA VCTO, ADJUNTAR FICHA TÉCNICA Y/O REGISTRO ISP, TIPO DE TRASLADO (ESPECIFICAR, PARA ACORDAR RETIRO CARGO HOSPITAL DE SER NECE"/>
        <s v="EL HCM REQUIERE GLUCAGON 1MG LIOF SOL INYECT FAM. INDICAR FECHA DE ENTREGA EN BODEGA HCM, FACTOR EMPAQUE, FECHA VCTO, ADJUNTAR FICHA TÉCNICA Y/O REGISTRO ISP, TIPO DE TRASLADO. POSTULAR SOLO SI CUENTA CON STOCK PARA DESPACHO INMEDIATO. COMPRA SUJETA A MUL"/>
        <s v="EL HOSPITAL CLÍNICO DE MAGALLANES REQUIERE SOFOSBUVIR-VELPATASVIR 400-100 MG CM. INDICAR AL COTIZAR: VALOR UNITARIO TOTAL, PRESENTACIÓN (CM), FECHA VCTO, ADJUNTAR FICHA TÉCNICA Y/O REGISTRO ISP, TIPO DE TRASLADO CARGO PROVEEDOR (ESPECIFICAR, PARA ACORDAR "/>
        <s v="EL HCM REQUIERE METILPREDNISOLONA ACETATO 80 MG. INDICAR FECHA DE ENTREGA EN BODEGA HCM, FACTOR EMPAQUE, FECHA VCTO, ADJUNTAR FICHA TÉCNICA Y/O REGISTRO ISP, TIPO DE TRASLADO. POSTULAR SOLO SI CUENTA CON STOCK PARA DESPACHO INMEDIATO. COMPRA SUJETA A MULT"/>
        <s v="EL HOSPITAL CLÍNICO DE MAGALLANES REQUIERE METILPREDNISOLONA ACETATO 80 MG. INDICAR AL COTIZAR: VALOR UNITARIO TOTAL, PRESENTACIÓN (ML), FECHA VCTO, ADJUNTAR FICHA TÉCNICA Y/O REGISTRO ISP, TIPO DE TRASLADO (ESPECIFICAR, PARA ACORDAR RETIRO CARGO HOSPITAL"/>
        <s v="EL HOSPITAL CLÍNICO DE MAGALLANES REQUIERE PANCREOLIPASA 5.000 UI GRANULOS FRASCO 20 GR. INDICAR AL COTIZAR: VALOR UNITARIO TOTAL, PRESENTACIÓN (FCO), FECHA VCTO, ADJUNTAR FICHA TÉCNICA Y/O REGISTRO ISP, TIPO DE TRASLADO Y FECHA ESPECIFICA DE ENTREGA (ESP"/>
        <s v="EL HOSPITAL CLÍNICO DE MAGALLANES REQUIERE FLUTICASONA PROPIONATO MICRONIZADO 50 MCG INH ORAL. INDICAR AL COTIZAR: VALOR UNITARIO TOTAL, PRESENTACIÓN (ML), FECHA VCTO, ADJUNTAR FICHA TÉCNICA Y/O REGISTRO ISP, TIPO DE TRASLADO CARGO PROVEEDOR (ESPECIFICAR,"/>
        <s v="EL HOSPITAL CLÍNICO DE MAGALLANES REQUIERE FLUTICASONA PROPIONATO MICRONIZADO 50 MCG AEROSOL PARA INHALACION ORAL (SIN ALCOHOL). INDICAR AL COTIZAR: VALOR UNITARIO TOTAL, PRESENTACIÓN (UD), FECHA VCTO, ADJUNTAR FICHA TÉCNICA Y/O REGISTRO ISP, TIPO DE TRAS"/>
        <s v="EL HCM REQUIERE METILPREDNISOLONA 1G LIOF IV-IM FAN. INDICAR FECHA DE ENTREGA EN BODEGA HCM, FACTOR EMPAQUE, FECHA VCTO, ADJUNTAR FICHA TÉCNICA Y/O REGISTRO ISP, TIPO DE TRASLADO. POSTULAR SOLO SI CUENTA CON STOCK PARA DESPACHO INMEDIATO. COMPRA SUJETA A "/>
        <s v="EL HCM REQUIERE DESMOPRESINA 100 MCG/1ML FRA 5 A 6 ML. INDICAR FECHA DE ENTREGA EN BODEGA HCM, FACTOR EMPAQUE, FECHA VCTO, ADJUNTAR FICHA TÉCNICA Y/O REGISTRO ISP, TIPO DE TRASLADO. POSTULAR SOLO SI CUENTA CON STOCK PARA DESPACHO INMEDIATO. COMPRA SUJETA "/>
        <s v="EL HOSPITAL CLÍNICO DE MAGALLANES REQUIERE AMBRISENTAM 10 MG CM. INDICAR AL COTIZAR: VALOR UNITARIO TOTAL, PRESENTACIÓN (CM), FECHA VCTO, ADJUNTAR FICHA TÉCNICA Y/O REGISTRO ISP, TIPO DE TRASLADO CARGO PROVEEDOR. (ESPECIFICAR, PARA ACORDAR RETIRO CARGO HO"/>
        <s v="EL HOSPITAL CLÍNICO DE MAGALLANES REQUIERE RH-DORNASA-ALFA SOL. INHALACION 2,5 MG 2,5 ML AMP. INDICAR AL COTIZAR: VALOR UNITARIO TOTAL, PRESENTACIÓN (ML), FECHA VCTO, ADJUNTAR FICHA TÉCNICA Y/O REGISTRO ISP, TIPO DE TRASLADO (ESPECIFICAR, PARA ACORDAR RET"/>
        <s v="EL HCM REQUIERE ALBUMINA HUMANA 20% SOL. PERF.IV FAM 50ML. INDICAR FECHA DE ENTREGA EN BODEGA HCM, FACTOR EMPAQUE, FECHA VCTO, ADJUNTAR FICHA TÉCNICA Y/O REGISTRO ISP, TIPO DE TRASLADO. POSTULAR SOLO SI CUENTA CON STOCK PARA DESPACHO INMEDIATO. COMPRA SUJ"/>
        <s v="EL HOSPITAL CLÍNICO DE MAGALLANES REQUIERE AMBRISETAN 10 MG CM. INDICAR AL COTIZAR: VALOR UNITARIO TOTAL, PRESENTACIÓN (CM), FECHA VCTO, ADJUNTAR FICHA TÉCNICA Y/O REGISTRO ISP, TIPO DE TRASLADO Y FECHA ESPECIFICA DE ENTREGA (ESPECIFICAR, PARA ACORDAR RET"/>
        <s v="EL HOSPITAL CLÍNICO DE MAGALLANES REQUIERE LECHE SUSTITUTA DELECHE MATERNA NAN 1 900 GR.. INDICAR AL COTIZAR: VALOR UNITARIO TOTAL, PRESENTACIÓN (GR), FECHA VCTO, ADJUNTAR FICHA TÉCNICA Y/O REGISTRO ISP, TIPO DE TRASLADO (ESPECIFICAR, PARA ACORDAR RETIRO "/>
        <s v="EL HOSPITAL CLÍNICO DE MAGALLANES REQUIERE DEUCRAVACITINIB 6 MG CM. INDICAR AL COTIZAR: VALOR UNITARIO TOTAL, PRESENTACIÓN (CM), FECHA VCTO, ADJUNTAR FICHA TÉCNICA Y/O REGISTRO ISP, TIPO DE TRASLADO Y FECHA ESPECIFICA DE ENTREGA (ESPECIFICAR, PARA ACORDAR"/>
        <s v="EL HCM REQUIERE CICLOFOSFAMIDA 1G FA POLVO LIOFILIZADO. INDICAR FECHA DE ENTREGA EN BODEGA HCM, FACTOR EMPAQUE, FECHA VCTO, ADJUNTAR FICHA TÉCNICA Y/O REGISTRO ISP, TIPO DE TRASLADO. POSTULAR SOLO SI CUENTA CON STOCK PARA DESPACHO INMEDIATO. COMPRA SUJETA"/>
        <s v="EL HOSPITAL CLÍNICO DE MAGALLANES REQUIERE LEVETIRACETAM 100 MG ML TIPO KEPPRA. INDICAR AL COTIZAR: VALOR UNITARIO TOTAL, PRESENTACIÓN (FC), FECHA VCTO, ADJUNTAR FICHA TÉCNICA Y/O REGISTRO ISP, TIPO DE TRASLADO (ESPECIFICAR, PARA ACORDAR RETIRO CARGO HOSP"/>
        <s v="EL HOSPITAL CLÍNICO DE MAGALLANES REQUIERE CARBAMAZEPINA 100 MG 5 ML SO JBE (TIPO TEGRETAL). INDICAR AL COTIZAR: VALOR UNITARIO TOTAL, PRESENTACIÓN (FCO), FECHA VCTO, ADJUNTAR FICHA TÉCNICA Y/O REGISTRO ISP, TIPO DE TRASLADO Y FECHA ESPECIFICA DE ENTREGA "/>
        <s v="EL HOSPITAL CLÍNICO DE MAGALLANES REQUIERE BIFIDOBACTERIUM BB-12 PROBIOTICOS EN GOTAS. INDICAR AL COTIZAR: VALOR UNITARIO TOTAL, PRESENTACIÓN (ML), FECHA VCTO, ADJUNTAR FICHA TÉCNICA Y/O REGISTRO ISP, TIPO DE TRASLADO (ESPECIFICAR, PARA ACORDAR RETIRO CAR"/>
        <s v="EL HOSPITAL CLÍNICO DE MAGALLANES REQUIERE IMIQUIMOD 5% CREMA. INDICAR AL COTIZAR: VALOR UNITARIO TOTAL, PRESENTACIÓN (UD), FECHA VCTO, ADJUNTAR FICHA TÉCNICA Y/O REGISTRO ISP, TIPO DE TRASLADO (ESPECIFICAR, PARA ACORDAR RETIRO CARGO HOSPITAL DE SER NECES"/>
        <s v="EL HOSPITAL CLÍNICO DE MAGALLANES REQUIERE AZITROMICINA 500 MG IV. INDICAR AL COTIZAR: VALOR UNITARIO TOTAL, PRESENTACIÓN (UD), FECHA VCTO, ADJUNTAR FICHA TÉCNICA Y/O REGISTRO ISP, TIPO DE TRASLADO CARGO PROVEEDOR (ESPECIFICAR, PARA ACORDAR RETIRO CARGO H"/>
        <s v="EL HOSPITAL CLÍNICO DE MAGALLANES REQUIERE BIFIDOBACTERIUM, BB-12 PROBIOTICOS EN GOTAS. INDICAR AL COTIZAR: VALOR UNITARIO TOTAL, PRESENTACIÓN (ML), FECHA VCTO, ADJUNTAR FICHA TÉCNICA Y/O REGISTRO ISP, TIPO DE TRASLADO (ESPECIFICAR, PARA ACORDAR RETIRO CA"/>
        <s v="EL HOSPITAL CLÍNICO DE MAGALLANES REQUIERE CICLOFOSFAMIDA 1G FA POLVO LIOFILIZADO. INDICAR AL COTIZAR: VALOR UNITARIO TOTAL, PRESENTACIÓN (ML), FECHA VCTO, ADJUNTAR FICHA TÉCNICA Y/O REGISTRO ISP, TIPO DE TRASLADO (ESPECIFICAR, PARA ACORDAR RETIRO CARGO H"/>
        <s v="EL HOSPITAL CLÍNICO DE MAGALLANES REQUIERE LACTULOSA 65-66 1000 ML. INDICAR AL COTIZAR: VALOR UNITARIO TOTAL, PRESENTACIÓN (LT), FECHA VCTO, ADJUNTAR FICHA TÉCNICA Y/O REGISTRO ISP, TIPO DE TRASLADO Y FECHA ESPECIFICA DE ENTREGA (ESPECIFICAR, PARA ACORDAR"/>
        <s v="EL HOSPITAL CLÍNICO DE MAGALLANES REQUIERE CARBAMAZEPINA 100 MG 5ML SO. INDICAR AL COTIZAR: VALOR UNITARIO TOTAL, PRESENTACIÓN (ML), FECHA VCTO, ADJUNTAR FICHA TÉCNICA Y/O REGISTRO ISP, TIPO DE TRASLADO CARGO PROVEEDOR CON DESPACHOS PARCIALIZADOS (ESPECIF"/>
        <s v="EL HOSPITAL CLÍNICO DE MAGALLANES REQUIERE AMINOACIDOS 10% PARA ADMINISTRACION I.V. INDICAR AL COTIZAR: VALOR UNITARIO TOTAL, PRESENTACIÓN (UD), FECHA VCTO, ADJUNTAR FICHA TÉCNICA Y/O REGISTRO ISP, TIPO DE TRASLADO (ESPECIFICAR, PARA ACORDAR RETIRO CARGO "/>
        <s v="EL HOSPITAL CLÍNICO DE MAGALLANES REQUIERE AMINOACIDOS 15%. INDICAR AL COTIZAR: VALOR UNITARIO TOTAL, PRESENTACIÓN (ML), FECHA VCTO, ADJUNTAR FICHA TÉCNICA Y/O REGISTRO ISP, TIPO DE TRASLADO (ESPECIFICAR, PARA ACORDAR RETIRO CARGO HOSPITAL DE SER NECESARI"/>
        <s v="EL HOSPITAL CLÍNICO DE MAGALLANES REQUIERE ALCOHOL ETILICO 99° ML. INDICAR AL COTIZAR: VALOR UNITARIO TOTAL, PRESENTACIÓN (ML), FECHA VCTO, ADJUNTAR FICHA TÉCNICA Y/O REGISTRO ISP, TIPO DE TRASLADO Y ESPECIFICAR FECHA DE ENTREGA, INDICAR SI CUENTA CON STO"/>
        <s v="EL HOSPITAL CLÍNICO DE MAGALLANES REQUIERE COTRIMOXAZOL 80 / 400 FORTE. INDICAR AL COTIZAR: FECHA DE ENTREGA EN BODEGA DEL HCM, PRESENTACIÓN (ML), FECHA VCTO, ADJUNTAR FICHA TÉCNICA Y/O REGISTRO ISP, TIPO DE TRASLADO. POSTULAR SOLO SI CUENTA CON STOCK PAR"/>
        <s v="EL HCM REQUIERE PILOCARPINA 4% SOLUCION OFTALMICA. INDICAR FECHA DE ENTREGA EN BODEGA HCM, FACTOR EMPAQUE, FECHA VCTO, ADJUNTAR FICHA TÉCNICA Y/O REGISTRO ISP, TIPO DE TRASLADO. POSTULAR SOLO SI CUENTA CON STOCK PARA DESPACHO INMEDIATO. COMPRA SUJETA A MU"/>
        <s v="EL HOSPITAL CLÍNICO DE MAGALLANES REQUIERE COMPLEMENTO NUTRICIONAL NORMAL ADULTO. INDICAR AL COTIZAR: VALOR UNITARIO TOTAL, PRESENTACIÓN (GR), FECHA VCTO, ADJUNTAR FICHA TÉCNICA Y/O REGISTRO ISP, TIPO DE TRASLADO CARGO PROVEEDOR (ESPECIFICAR, PARA ACORDAR"/>
        <s v="EL HOSPITAL CLÍNICO DE MAGALLANES REQUIERE POLIDOCANOL 2% 2 ML. INDICAR AL COTIZAR: VALOR UNITARIO TOTAL, PRESENTACIÓN (ML), FECHA VCTO, ADJUNTAR FICHA TÉCNICA Y/O REGISTRO ISP, TIPO DE TRASLADO (ESPECIFICAR, PARA ACORDAR RETIRO CARGO HOSPITAL DE SER NECE"/>
        <s v="EL HOSPITAL CLÍNICO DE MAGALLANES REQUIERE BUDESONIDA FORMOTEROL FUMARATO 160/4,5 MCG. INDICAR AL COTIZAR: VALOR UNITARIO TOTAL, PRESENTACIÓN (UD), FECHA VCTO, ADJUNTAR FICHA TÉCNICA Y/O REGISTRO ISP, TIPO DE TRASLADO CARGO PROVEEDOR (ESPECIFICAR, PARA AC"/>
        <s v="EL HOSPITAL CLÍNICO DE MAGALLANES REQUIERE BUDESONIDA FORMOTEROL FUMARATO 160/4,5 MCG BUCAL. INDICAR AL COTIZAR: VALOR UNITARIO TOTAL, PRESENTACIÓN (UD), FECHA VCTO, ADJUNTAR FICHA TÉCNICA Y/O REGISTRO ISP, TIPO DE TRASLADO CARGO PROVEEDOR (ESPECIFICAR, P"/>
        <s v="EL HOSPITAL CLÍNICO DE MAGALLANES REQUIERE KETAMINA SOL INY 500 MG/10 ML. INDICAR AL COTIZAR: VALOR UNITARIO TOTAL, PRESENTACIÓN (ML), FECHA VCTO, ADJUNTAR FICHA TÉCNICA Y/O REGISTRO ISP, TIPO DE TRASLADO y ESPECIFICAR FECHA DE ENTREGA, INDICAR SI CUENTA "/>
        <s v="SE REQUIERE PARA EL HOSPITAL CLÍNICO DE MAGALLANES CLORHEXIDINA 5% TINTURA 125 ML. INDICAR: VALOR UNITARIO, PRESENTACIÓN Y EMPAQUE (ML), FECHA VCTO, ADJUNTAR FICHA TÉCNICA Y/O REGISTRO ISP, IMAGEN DEL PRODUCTO, TIEMPO DE ENTREGA (ESPECIFICAR, PARA COORDIN"/>
        <s v="EL HOSPITAL CLÍNICO DE MAGALLANES REQUIERE LEVETIRACETAM 100 MG ML SO. INDICAR AL COTIZAR: VALOR UNITARIO TOTAL, PRESENTACIÓN (ML), FECHA VCTO, ADJUNTAR FICHA TÉCNICA Y/O REGISTRO ISP, TIPO DE TRASLADO CARGO PROVEEDOR (ESPECIFICAR, PARA ACORDAR RETIRO CAR"/>
        <s v="EL HOSPITAL CLÍNICO DE MAGALLANES REQUIERE FENOTEROL BROMHIDRATO 0,5 MG + IPATROPIO BROMURO 0,25 MG / ML INDICAR AL COTIZAR: VALOR UNITARIO TOTAL, PRESENTACIÓN (ML), FECHA VCTO, ADJUNTAR FICHA TÉCNICA Y/O REGISTRO ISP, TIPO DE TRASLADO (ESPECIFICAR, PARA "/>
        <s v="EL HOSPITAL CLÍNICO DE MAGALLANES REQUIERE AMBRISENTAM 10 MG CM. INDICAR AL COTIZAR: VALOR UNITARIO TOTAL, PRESENTACIÓN (ML), FECHA VCTO, ADJUNTAR FICHA TÉCNICA Y/O REGISTRO ISP, TIPO DE TRASLADO (ESPECIFICAR, PARA ACORDAR RETIRO CARGO HOSPITAL DE SER NEC"/>
        <s v="EL HOSPITAL CLÍNICO DE MAGALLANES REQUIERE CIANOCOBALAMINA 50 MCG 5 ML JBE. INDICAR AL COTIZAR: VALOR UNITARIO TOTAL, PRESENTACIÓN (ML), FECHA VCTO, ADJUNTAR FICHA TÉCNICA Y/O REGISTRO ISP, TIPO DE TRASLADO CARGO PROVEEDOR, SE SOLICITARAN DESPACHOS PARCIA"/>
        <s v="SE REQUIERE PARA EL HOSPITAL CLÍNICO DE MAGALLANES ALCOHOL ETILICO 99° 2,5 LT. INDICAR: VALOR UNITARIO, PRESENTACIÓN Y EMPAQUE (ML), FECHA VCTO, ADJUNTAR FICHA TÉCNICA Y/O REGISTRO ISP, IMAGEN DEL PRODUCTO, TIEMPO DE ENTREGA (ESPECIFICAR, PARA COORDINAR R"/>
        <s v="EL HCM REQUIERE MIVACUORIO 10ML/5ML AM. INDICAR FECHA DE ENTREGA EN BODEGA HCM, FACTOR EMPAQUE, FECHA VCTO, ADJUNTAR FICHA TÉCNICA Y/O REGISTRO ISP, TIPO DE TRASLADO. POSTULAR SOLO SI CUENTA CON STOCK PARA DESPACHO INMEDIATO. COMPRA SUJETA A MULTA DE NO R"/>
        <s v="EL HOSPITAL CLÍNICO DE MAGALLANES REQUIERE LUBRICANTE OCULAR QUE CONTENGA CARBOMERO. INDICAR AL COTIZAR: VALOR UNITARIO TOTAL, PRESENTACIÓN (TUBO), FECHA VCTO, ADJUNTAR FICHA TÉCNICA Y/O REGISTRO ISP, TIPO DE TRASLADO Y FECHA ESPECIFICA DE ENTREGA (ESPECI"/>
        <s v="EL HOSPITAL CLÍNICO DE MAGALLANES REQUIERE OLANZAPINA 10 MG BUCODISPERSABLE. INDICAR AL COTIZAR: VALOR UNITARIO TOTAL, PRESENTACIÓN (ML), FECHA VCTO, ADJUNTAR FICHA TÉCNICA Y/O REGISTRO ISP, TIPO DE TRASLADO y ESPECIFICAR FECHA DE ENTREGA, INDICAR SI CUEN"/>
        <s v="EL HOSPITAL CLÍNICO DE MAGALLANES REQUIERE REMIFENTANILO CLORHIDRATO 1 MG FA. INDICAR AL COTIZAR: VALOR UNITARIO TOTAL, PRESENTACIÓN (ML), FECHA VCTO, ADJUNTAR FICHA TÉCNICA Y/O REGISTRO ISP, TIPO DE TRASLADO y ESPECIFICAR FECHA DE ENTREGA, INDICAR SI CUE"/>
        <s v="EL HOSPITAL CLÍNICO DE MAGALLANES REQUIERE TIMOLOL MALEATO 0,5% SOL OFT. INDICAR AL COTIZAR: VALOR UNITARIO TOTAL, PRESENTACIÓN (FCO), FECHA VCTO, ADJUNTAR FICHA TÉCNICA Y/O REGISTRO ISP, TIPO DE TRASLADO CARGO PROVEEDOR (ESPECIFICAR, PARA ACORDAR RETIRO "/>
        <s v="EL HOSPITAL CLÍNICO DE MAGALLANES REQUIERE LACTOBACILLUS REUTERI PROTECTIS 5 ML. INDICAR AL COTIZAR: VALOR UNITARIO TOTAL, PRESENTACIÓN (ML), FECHA VCTO, ADJUNTAR FICHA TÉCNICA Y/O REGISTRO ISP, TIPO DE TRASLADO Y FECHA ESPECIFICA DE ENTREGA (ESPECIFICAR,"/>
        <s v="SE REQUIERE PARA EL HOSPITAL CLÍNICO DE MAGALLANES CLORHEXIDINA 2% ACUOSA TOPICA 500 ML. INDICAR: VALOR UNITARIO, PRESENTACIÓN Y EMPAQUE (ML), FECHA VCTO, ADJUNTAR FICHA TÉCNICA Y/O REGISTRO ISP, IMAGEN DEL PRODUCTO, TIEMPO DE ENTREGA (ESPECIFICAR, PARA C"/>
        <s v="EL HOSPITAL CLÍNICO DE MAGALLANES REQUIERE VITAMINAS HIDROSUBLES USO IV INFANTIL - ADULTO (QUE CONTENGA 9 VITAMINAS HIDROSOLUBLES). INDICAR AL COTIZAR: VALOR UNITARIO TOTAL, PRESENTACIÓN (ML), FECHA VCTO, ADJUNTAR FICHA TÉCNICA Y/O REGISTRO ISP, TIPO DE T"/>
        <s v="EL HOSPITAL CLÍNICO DE MAGALLANES REQUIERE FLUTICASONA 27,5 MCG/DO SUSP. NAS. INDICAR AL COTIZAR: VALOR UNITARIO TOTAL, PRESENTACIÓN (ML), FECHA VCTO, ADJUNTAR FICHA TÉCNICA Y/O REGISTRO ISP, TIPO DE TRASLADO CARGO PROVEEDOR (ESPECIFICAR, PARA ACORDAR RET"/>
        <s v="EL HOSPITAL CLÍNICO DE MAGALLANES REQUIERE ZIPRASIDONA 40 MG CP. INDICAR AL COTIZAR: FECHA DE ENTREGA EN BODEGA DEL HCM, PRESENTACIÓN (ML), FECHA VCTO, ADJUNTAR FICHA TÉCNICA Y/O REGISTRO ISP, TIPO DE TRASLADO. POSTULAR SOLO SI CUENTA CON STOCK PARA DESPA"/>
        <s v="SE REQUIERE PARA EL HOSPITAL CLÍNICO DE MAGALLANES ALCOHOL ISOPROPILICO LT. INDICAR: VALOR UNITARIO, PRESENTACIÓN Y EMPAQUE (ML), FECHA VCTO (SUPERIOR 1 AÑO), ADJUNTAR FICHA TÉCNICA Y/O REGISTRO ISP, IMAGEN DEL PRODUCTO, TIEMPO DE ENTREGA (ESPECIFICAR, PA"/>
        <s v="EL HOSPITAL CLÍNICO DE MAGALLANES REQUIERE DE FORMA URGENTE TETRABENAZINA 25 MG CM. INDICAR AL COTIZAR: VALOR UNITARIO TOTAL, PRESENTACIÓN (ML), FECHA VCTO, ADJUNTAR FICHA TÉCNICA Y/O REGISTRO ISP, TIPO DE TRASLADO y ESPECIFICAR FECHA DE ENTREGA EN NUESTR"/>
        <s v="EL HOSPITAL CLÍNICO DE MAGALLANES REQUIERE CLORHEXIDINA 2% TINTURA ( BASE ALCOHOLICA ) 125 ML. INDICAR AL COTIZAR: VALOR UNITARIO TOTAL, PRESENTACIÓN (ML), FECHA VCTO, ADJUNTAR FICHA TÉCNICA Y/O REGISTRO ISP, TIPO DE TRASLADO y ESPECIFICAR FECHA DE ENTREG"/>
        <s v="EL HCM REQUIERE GLICERINA LIQUIDA USP. INDICAR FECHA DE ENTREGA EN BODEGA HCM, FACTOR EMPAQUE, FECHA VCTO, ADJUNTAR FICHA TÉCNICA Y/O REGISTRO ISP, TIPO DE TRASLADO. POSTULAR SOLO SI CUENTA CON STOCK PARA DESPACHO INMEDIATO. COMPRA SUJETA A MULTA DE NO RE"/>
        <s v="EL HOSPITAL CLÍNICO DE MAGALLANES REQUIERE FITOMENADIONA 10 MG ML ADMINIS. INDICAR AL COTIZAR: VALOR UNITARIO TOTAL, PRESENTACIÓN (ML), FECHA VCTO, ADJUNTAR FICHA TÉCNICA Y/O REGISTRO ISP, TIPO DE TRASLADO y ESPECIFICAR FECHA DE ENTREGA EN NUESTRAS BODEGA"/>
        <s v="EL HOSPITAL CLÍNICO DE MAGALLANES REQUIERE VITAMINA A-C-D FRA GOTAS. INDICAR AL COTIZAR: VALOR UNITARIO TOTAL, PRESENTACIÓN (ML), FECHA VCTO, ADJUNTAR FICHA TÉCNICA Y/O REGISTRO ISP, TIPO DE TRASLADO CARGO PROVEEDOR (ESPECIFICAR, PARA ACORDAR RETIRO CARGO"/>
        <s v="EL HOSPITAL CLÍNICO DE MAGALLANES REQUIERE GEL VISCOSO COADYUVANTE. INDICAR AL COTIZAR: VALOR UNITARIO TOTAL, PRESENTACIÓN (UD), FECHA VCTO, ADJUNTAR FICHA TÉCNICA Y/O REGISTRO ISP, TIPO DE TRASLADO (ESPECIFICAR, PARA ACORDAR RETIRO CARGO HOSPITAL DE SER "/>
        <s v="EL HOSPITAL CLÍNICO DE MAGALLANES REQUIERE FITOMENADIONA 10 MG ML ADMINISTRACIÓN I.V. INDICAR AL COTIZAR: VALOR UNITARIO TOTAL, PRESENTACIÓN (AM), FECHA VCTO, ADJUNTAR FICHA TÉCNICA Y/O REGISTRO ISP, TIPO DE TRASLADO CARGO PROVEEDOR (ESPECIFICAR, PARA ACO"/>
        <s v="SE REQUIERE PARA EL HOSPITAL CLÍNICO DE MAGALLANES CLORHEXIDINA 2% ACUOSA TOPICA 500 ML. INDICAR: VALOR UNITARIO, PRESENTACIÓN Y EMPAQUE (ML), FECHA VCTO (SUPERIOR 1 AÑO), ADJUNTAR FICHA TÉCNICA Y/O REGISTRO ISP, IMAGEN DEL PRODUCTO, TIEMPO DE ENTREGA (ES"/>
        <s v="EL HOSPITAL CLÍNICO DE MAGALLANES REQUIERE ENOXAPARINA SODICA 80 MG 0,8 ML. INDICAR AL COTIZAR: VALOR UNITARIO TOTAL, PRESENTACIÓN (UD), FECHA VCTO, ADJUNTAR FICHA TÉCNICA Y/O REGISTRO ISP, TIPO DE TRASLADO (ESPECIFICAR, PARA ACORDAR RETIRO CARGO HOSPITAL"/>
        <s v="EL HOSPITAL CLÍNICO DE MAGALLANES REQUIERE ENOXAPARINA SODICA 80 MG. INDICAR AL COTIZAR: VALOR UNITARIO TOTAL, PRESENTACIÓN (UD), FECHA VCTO, ADJUNTAR FICHA TÉCNICA Y/O REGISTRO ISP, TIPO DE TRASLADO Y FECHA ESPECIFICA DE ENTREGA (ESPECIFICAR, PARA ACORDA"/>
        <s v="EL HOSPITAL CLÍNICO DE MAGALLANES REQUIERE BICTEGRAVIR-EMTRICITA-VINATENOFOVIR-ALAFEMNAMIDA 50/200/25 MG CM. INDICAR AL COTIZAR: VALOR UNITARIO TOTAL, PRESENTACIÓN (CM), FECHA VCTO, ADJUNTAR FICHA TÉCNICA Y/O REGISTRO ISP, TIPO DE TRASLADO CARGO PROVEEDOR"/>
        <s v="EL HCM REQUIERE MUPIROCINA 2% TOPICO. INDICAR FECHA DE ENTREGA EN BODEGA HCM, FACTOR EMPAQUE, FECHA VCTO, ADJUNTAR FICHA TÉCNICA Y/O REGISTRO ISP, TIPO DE TRASLADO. POSTULAR SOLO SI CUENTA CON STOCK PARA DESPACHO INMEDIATO. COMPRA SUJETA A MULTA DE NO RES"/>
        <s v="EL HOSPITAL CLÍNICO DE MAGALLANES REQUIERE FAMPRIDINA 10 MG CM. INDICAR AL COTIZAR: VALOR UNITARIO TOTAL, PRESENTACIÓN (CM), FECHA VCTO, ADJUNTAR FICHA TÉCNICA Y/O REGISTRO ISP, TIPO DE TRASLADO CARGO PROVEEDOR (ESPECIFICAR, PARA ACORDAR RETIRO CARGO HOSP"/>
        <s v="EL HOSPITAL CLÍNICO DE MAGALLANES REQUIERE LEVOCETIRIZINA 5 MG ML GTS. INDICAR AL COTIZAR: VALOR UNITARIO TOTAL, PRESENTACIÓN (ML), FECHA VCTO, ADJUNTAR FICHA TÉCNICA Y/O REGISTRO ISP, TIPO DE TRASLADO (ESPECIFICAR, PARA ACORDAR RETIRO CARGO HOSPITAL DE S"/>
        <s v="EL HCM REQUIERE NITROGLICERINA 50MG/10ML SOL. INY. AM/FAM. INDICAR FECHA DE ENTREGA EN BODEGA HCM, FACTOR EMPAQUE, FECHA VCTO, ADJUNTAR FICHA TÉCNICA Y/O REGISTRO ISP, TIPO DE TRASLADO. POSTULAR SOLO SI CUENTA CON STOCK PARA DESPACHO INMEDIATO. COMPRA SUJ"/>
        <s v="EL HOSPITAL CLÍNICO DE MAGALLANES REQUIERE OLANZAPINA 5 MG BUCODISPERSABLE. INDICAR AL COTIZAR: VALOR UNITARIO TOTAL, PRESENTACIÓN (ML), FECHA VCTO, ADJUNTAR FICHA TÉCNICA Y/O REGISTRO ISP, TIPO DE TRASLADO y ESPECIFICAR FECHA DE ENTREGA, INDICAR SI CUENT"/>
        <s v="EL HOSPITAL CLÍNICO DE MAGALLANES REQUIERE KETAMINA CLOR, 500 MG/10 ML FA. INDICAR AL COTIZAR: VALOR UNITARIO TOTAL, PRESENTACIÓN (ML), FECHA VCTO, ADJUNTAR FICHA TÉCNICA Y/O REGISTRO ISP, TIPO DE TRASLADO y ESPECIFICAR FECHA DE ENTREGA, INDICAR SI CUENTA"/>
        <s v="EL HOSPITAL CLÍNICO DE MAGALLANES REQUIERE JALEA LAXANTE. INDICAR AL COTIZAR: VALOR UNITARIO TOTAL, PRESENTACIÓN (GR), FECHA VCTO, ADJUNTAR FICHA TÉCNICA Y/O REGISTRO ISP, TIPO DE TRASLADO (ESPECIFICAR, PARA ACORDAR RETIRO CARGO HOSPITAL DE SER NECESARIO)"/>
        <s v="SE REQUIERE PARA EL HOSPITAL CLÍNICO DE MAGALLANES JABÓN NEUTRO BS 800 ML PARA DISPENSADOR DE PARED TIPO MANO. INDICAR: VALOR UNITARIO, PRESENTACIÓN (ML) Y EMPAQUE, FECHA VCTO (SUPERIOR 1 AÑO), ADJUNTAR FICHA TÉCNICA Y/O REGISTRO ISP, IMAGEN DEL PRODUCTO,"/>
        <s v="EL HCM REQUIERE SULBACTAM / AMPICILINA 500-1000 MG FAM. INDICAR FECHA DE ENTREGA EN BODEGA HCM, FACTOR EMPAQUE, FECHA VCTO, ADJUNTAR FICHA TÉCNICA Y/O REGISTRO ISP, TIPO DE TRASLADO. POSTULAR SOLO SI CUENTA CON STOCK PARA DESPACHO INMEDIATO. COMPRA SUJETA"/>
        <s v="EL HOSPITAL CLÍNICO DE MAGALLANES REQUIERE TENOFOVIR/LAMIVUDINA/DOLUTEGRAVIR 300/300/50 MG CM. INDICAR AL COTIZAR: VALOR UNITARIO TOTAL, PRESENTACIÓN (ML), FECHA VCTO, ADJUNTAR FICHA TÉCNICA Y/O REGISTRO ISP, TIPO DE TRASLADO (ESPECIFICAR, PARA ACORDAR RE"/>
        <s v="L HOSPITAL CLÍNICO DE MAGALLANES REQUIERE LIDOCAINA 2% GEL ORAL. INDICAR AL COTIZAR: VALOR UNITARIO TOTAL, PRESENTACIÓN (UD), FECHA VCTO, ADJUNTAR FICHA TÉCNICA Y/O REGISTRO ISP, TIPO DE TRASLADO CARGO PROVEEDOR (ESPECIFICAR, PARA ACORDAR RETIRO CARGO HOS"/>
        <s v="EL HCM REQUIERE EPINEFRINA 1MG/1ML AMP. INDICAR FECHA DE ENTREGA EN BODEGA HCM, FACTOR EMPAQUE, FECHA VCTO, ADJUNTAR FICHA TÉCNICA Y/O REGISTRO ISP, TIPO DE TRASLADO. POSTULAR SOLO SI CUENTA CON STOCK PARA DESPACHO INMEDIATO. COMPRA SUJETA A MULTA DE NO R"/>
        <s v="EL HOSPITAL CLÍNICO DE MAGALLANES REQUIERE OLANZAPINA 5 MG CM. INDICAR AL COTIZAR: VALOR UNITARIO TOTAL, PRESENTACIÓN (CM), FECHA VCTO, ADJUNTAR FICHA TÉCNICA Y/O REGISTRO ISP, TIPO DE TRASLADO CARGO PROVEEDOR. (ESPECIFICAR, PARA ACORDAR RETIRO CARGO HOSP"/>
        <s v="EL HOSPITAL CLÍNICO DE MAGALLANES REQUIERE LEVONORGESTREL 0,75 MG CM . INDICAR AL COTIZAR: VALOR UNITARIO TOTAL, PRESENTACIÓN (CM), FECHA VCTO, ADJUNTAR FICHA TÉCNICA Y/O REGISTRO ISP, TIPO DE TRASLADO CARGO PROVEEDOR (ESPECIFICAR, PARA ACORDAR RETIRO CAR"/>
        <s v="SE REQUIERE PARA EL HOSPITAL CLÍNICO DE MAGALLANES FORMALINA TAMPONADA LT. INDICAR: VALOR UNITARIO, PRESENTACIÓN Y EMPAQUE (ML), FECHA VCTO, ADJUNTAR FICHA TÉCNICA Y/O REGISTRO ISP, IMAGEN DEL PRODUCTO, TIEMPO DE ENTREGA (ESPECIFICAR, PARA COORDINAR RETIR"/>
        <s v="EL HOSPITAL CLÍNICO DE MAGALLANES REQUIERE CINTA DE CETONEMIA A_BGM09 FREESTYLE OPTIUM NEO KETONES. INDICAR AL COTIZAR: VALOR UNITARIO TOTAL, PRESENTACIÓN (ML), FECHA VCTO, ADJUNTAR FICHA TÉCNICA Y/O REGISTRO ISP, TIPO DE TRASLADO (ESPECIFICAR, PARA ACORD"/>
        <s v="EL HOSPITAL CLÍNICO DE MAGALLANES REQUIERE LEVOCETIRIZINA 2,5 MG 5 ML. INDICAR AL COTIZAR: VALOR UNITARIO TOTAL, PRESENTACIÓN (ML), FECHA VCTO, ADJUNTAR FICHA TÉCNICA Y/O REGISTRO ISP, TIPO DE TRASLADO CARGO PROVEEDOR (ESPECIFICAR, PARA ACORDAR RETIRO CAR"/>
        <s v="EL HOSPITAL CLÍNICO DE MAGALLANES REQUIERE SUPLEMENTO MULTIVITAMINICO C VIT A,D,E,K CM (FIBROSIS QUISTICA). INDICAR AL COTIZAR: VALOR UNITARIO TOTAL, PRESENTACIÓN (CM), FECHA VCTO, ADJUNTAR FICHA TÉCNICA Y/O REGISTRO ISP, TIPO DE TRASLADO (ESPECIFICAR, PA"/>
        <s v="EL HOSPITAL CLÍNICO DE MAGALLANES REQUIERE VERAPAMILO 5 MG 2 ML AMP. INDICAR AL COTIZAR: VALOR UNITARIO TOTAL, PRESENTACIÓN (AMP), FECHA VCTO, ADJUNTAR FICHA TÉCNICA Y/O REGISTRO ISP, TIPO DE TRASLADO CARGO PROVEEDOR (ESPECIFICAR, PARA ACORDAR RETIRO CARG"/>
        <s v="EL HOSPITAL CLÍNICO DE MAGALLANES REQUIERE DOMPERIDONA FCO 10 MG ML INDICAR AL COTIZAR: VALOR UNITARIO TOTAL, PRESENTACIÓN (CM), FECHA VCTO, ADJUNTAR FICHA TÉCNICA Y/O REGISTRO ISP, TIPO DE TRASLADO CARGO PROVEEDOR (ESPECIFICAR, PARA ACORDAR RETIRO CARGO "/>
        <s v="EL HOSPITAL CLÍNICO DE MAGALLANES REQUIERE TENOFOVIR/LAMIVUDINA/DOLUTEGRAVIR 300/300/50 MG CM. INDICAR AL COTIZAR: VALOR UNITARIO TOTAL, PRESENTACIÓN (CM), FECHA VCTO, ADJUNTAR FICHA TÉCNICA Y/O REGISTRO ISP, TIPO DE TRASLADO (ESPECIFICAR, PARA ACORDAR RE"/>
        <s v="EL HOSPITAL CLÍNICO DE MAGALLANES REQUIERE TENOFOVIR/LAMIVUDINA/DOLUTEGRAV. INDICAR AL COTIZAR: FECHA DE ENTREGA EN BODEGA DEL HCM, PRESENTACIÓN (ML), FECHA VCTO, ADJUNTAR FICHA TÉCNICA Y/O REGISTRO ISP, TIPO DE TRASLADO. POSTULAR SOLO SI CUENTA CON STOCK"/>
        <s v="EL HOSPITAL CLÍNICO DE MAGALLANES REQUIERE CLONIDINA CLORHIDRATO 100 MCG CM. INDICAR AL COTIZAR: VALOR UNITARIO TOTAL, PRESENTACIÓN (ML), FECHA VCTO, ADJUNTAR FICHA TÉCNICA Y/O REGISTRO ISP, TIPO DE TRASLADO y ESPECIFICAR FECHA DE ENTREGA, INDICAR SI CUEN"/>
        <s v="EL HOSPITAL CLÍNICO DE MAGALLANES REQUIERE ÁCIDO TRANEXAMICO 500 MG CM. INDICAR AL COTIZAR: VALOR UNITARIO TOTAL, PRESENTACIÓN (CM), FECHA VCTO, ADJUNTAR FICHA TÉCNICA Y/O REGISTRO ISP, TIPO DE TRASLADO CARGO PROVEEDOR (ESPECIFICAR, PARA ACORDAR RETIRO CA"/>
        <s v="EL HOSPITAL CLÍNICO DE MAGALLANES REQUIERE VITAMINA B1/B6/B12 AMP. INDICAR AL COTIZAR: VALOR UNITARIO TOTAL, PRESENTACIÓN (AMP), FECHA VCTO, ADJUNTAR FICHA TÉCNICA Y/O REGISTRO ISP, TIPO DE TRASLADO (ESPECIFICAR, PARA ACORDAR RETIRO CARGO HOSPITAL DE SER "/>
        <s v="EL HOSPITAL CLÍNICO DE MAGALLANES REQUIERE ÁCIDO TRANEXÁMICO 500 MG CM. INDICAR AL COTIZAR: VALOR UNITARIO TOTAL, PRESENTACIÓN (CM), FECHA VCTO, ADJUNTAR FICHA TÉCNICA Y/O REGISTRO ISP, FACILITAR TIPO DE TRASLADO CARGO HOSPITAL, E INDICAR SI CUENTA CON ST"/>
        <s v="SE REQUIERE PARA EL HOSPITAL CLÍNICO DE MAGALLANES ALCOHOL ETILICO 70° FCO 250 ML. INDICAR: VALOR UNITARIO, PRESENTACIÓN Y EMPAQUE (ML), FECHA VCTO, ADJUNTAR FICHA TÉCNICA Y/O REGISTRO ISP, IMAGEN DEL PRODUCTO, TIEMPO DE ENTREGA (ESPECIFICAR, PARA COORDIN"/>
        <s v="EL HOSPITAL CLÍNICO DE MAGALLANES REQUIERE TRAMADOL 100 MG ML GTS. INDICAR AL COTIZAR: VALOR UNITARIO TOTAL, PRESENTACIÓN (FC), FECHA VCTO, ADJUNTAR FICHA TÉCNICA Y/O REGISTRO ISP, TIPO DE TRASLADO (ESPECIFICAR, PARA ACORDAR RETIRO CARGO HOSPITAL DE SER N"/>
        <s v="EL HOSPITAL CLÍNICO DE MAGALLANES REQUIERE ISOTRETINOINA 20 MG CP. INDICAR AL COTIZAR: VALOR UNITARIO TOTAL, PRESENTACIÓN (CP), FECHA VCTO, ADJUNTAR FICHA TÉCNICA Y/O REGISTRO ISP, TIPO DE TRASLADO (ESPECIFICAR, PARA ACORDAR RETIRO CARGO HOSPITAL DE SER N"/>
        <s v="EL HCM REQUIERE METILFENIDATO 36 MG CM LP. INDICAR FECHA DE ENTREGA EN BODEGA HCM, FACTOR EMPAQUE, FECHA VCTO, ADJUNTAR FICHA TÉCNICA Y/O REGISTRO ISP, TIPO DE TRASLADO. POSTULAR SOLO SI CUENTA CON STOCK PARA DESPACHO INMEDIATO. COMPRA SUJETA A MULTA DE N"/>
        <s v="EL HOSPITAL CLÍNICO DE MAGALLANES REQUIERE TRAMADOL 100 MG ML GTS. INDICAR AL COTIZAR: VALOR UNITARIO TOTAL, PRESENTACIÓN (ML), FECHA VCTO, ADJUNTAR FICHA TÉCNICA Y/O REGISTRO ISP, TIPO DE TRASLADO CARGO PROVEEDOR (ESPECIFICAR, PARA ACORDAR RETIRO CARGO H"/>
        <s v="EL HCM REQUIERE METILFENIDATO 27 MG CM LP. INDICAR FECHA DE ENTREGA EN BODEGA HCM, FACTOR EMPAQUE, FECHA VCTO, ADJUNTAR FICHA TÉCNICA Y/O REGISTRO ISP, TIPO DE TRASLADO. POSTULAR SOLO SI CUENTA CON STOCK PARA DESPACHO INMEDIATO. COMPRA SUJETA A MULTA DE N"/>
        <s v="EL HOSPITAL CLÍNICO DE MAGALLANES REQUIERE ISOTRETINOINA 20 MG CAP. INDICAR AL COTIZAR: FECHA DE ENTREGA EN BODEGA DEL HCM, PRESENTACIÓN (ML), FECHA VCTO, ADJUNTAR FICHA TÉCNICA Y/O REGISTRO ISP, TIPO DE TRASLADO. POSTULAR SOLO SI CUENTA CON STOCK PARA DE"/>
        <s v="EL HOSPITAL CLÍNICO DE MAGALLANES REQUIERE GLUCOSA 50% 20 ML SOL INY AMP. INDICAR AL COTIZAR: VALOR UNITARIO TOTAL, PRESENTACIÓN (ML), FECHA VCTO, ADJUNTAR FICHA TÉCNICA Y/O REGISTRO ISP, TIPO DE TRASLADO CARGO PROVEEDOR (ESPECIFICAR, PARA ACORDAR RETIRO "/>
        <s v="EL HOSPITAL CLÍNICO DE MAGALLANES REQUIERE FLECAINIDA 100 MG CM. INDICAR AL COTIZAR: VALOR UNITARIO TOTAL, PRESENTACIÓN (CM), FECHA VCTO, ADJUNTAR FICHA TÉCNICA Y/O REGISTRO ISP, TIPO DE TRASLADO (ESPECIFICAR, PARA ACORDAR RETIRO CARGO HOSPITAL DE SER NEC"/>
        <s v="EL HOSPITAL CLÍNICO DE MAGALLANES REQUIERE METILFENIDATO 36 MG CM. INDICAR AL COTIZAR: VALOR UNITARIO TOTAL, PRESENTACIÓN (ML), FECHA VCTO, ADJUNTAR FICHA TÉCNICA Y/O REGISTRO ISP, TIPO DE TRASLADO y ESPECIFICAR FECHA DE ENTREGA, INDICAR SI CUENTA CON STO"/>
        <s v="EL HOSPITAL CLÍNICO DE MAGALLANES REQUIERE EPLERENONA 50 MG CM. INDICAR AL COTIZAR: VALOR UNITARIO TOTAL, PRESENTACIÓN (CM), FECHA VCTO, ADJUNTAR FICHA TÉCNICA Y/O REGISTRO ISP, TIPO DE TRASLADO CARGO PROVEEDOR (ESPECIFICAR, PARA ACORDAR RETIRO CARGO HOSP"/>
        <s v="EL HOSPITAL CLÍNICO DE MAGALLANES REQUIERE METILFENIDATO 27 MG CM. INDICAR AL COTIZAR: VALOR UNITARIO TOTAL, PRESENTACIÓN (ML), FECHA VCTO, ADJUNTAR FICHA TÉCNICA Y/O REGISTRO ISP, TIPO DE TRASLADO y ESPECIFICAR FECHA DE ENTREGA, INDICAR SI CUENTA CON STO"/>
        <s v="EL HOSPITAL CLÍNICO DE MAGALLANES REQUIEREESPIRONOLACTONA 100 MG CM. INDICAR AL COTIZAR: VALOR UNITARIO TOTAL, PRESENTACIÓN (CM), FECHA VCTO, ADJUNTAR FICHA TÉCNICA Y/O REGISTRO ISP, TIPO DE TRASLADO (ESPECIFICAR, PARA ACORDAR RETIRO CARGO HOSPITAL DE SER"/>
        <s v="EL HOSPITAL CLÍNICO DE MAGALLANES REQUIERECINACALCET 60 MG CM. INDICAR AL COTIZAR: VALOR UNITARIO TOTAL, PRESENTACIÓN (CM), FECHA VCTO, ADJUNTAR FICHA TÉCNICA Y/O REGISTRO ISP, TIPO DE TRASLADO CARGO PROVEEDOR (ESPECIFICAR, PARA ACORDAR RETIRO CARGO HOSPI"/>
        <s v="EL HOSPITAL CLÍNICO DE MAGALLANES REQUIERE CINACALCET 60 MG CM. INDICAR AL COTIZAR: VALOR UNITARIO TOTAL, PRESENTACIÓN (CM), FECHA VCTO, ADJUNTAR FICHA TÉCNICA Y/O REGISTRO ISP, TIPO DE TRASLADO CARGO PROVEEDOR (ESPECIFICAR, PARA ACORDAR RETIRO CARGO HOSP"/>
        <s v="EL HOSPITAL CLÍNICO DE MAGALLANES REQUIERE SOLIFENACINA SUCCINATO 5 MG CM. INDICAR AL COTIZAR: VALOR UNITARIO TOTAL, PRESENTACIÓN (CM), FECHA VCTO, ADJUNTAR FICHA TÉCNICA Y/O REGISTRO ISP, TIPO DE TRASLADO (ESPECIFICAR, PARA ACORDAR RETIRO CARGO HOSPITAL "/>
        <s v="EL HOSPITAL CLÍNICO DE MAGALLANES REQUIERE METILFENIDATO 18 MG CM. INDICAR AL COTIZAR: VALOR UNITARIO TOTAL, PRESENTACIÓN (ML), FECHA VCTO, ADJUNTAR FICHA TÉCNICA Y/O REGISTRO ISP, TIPO DE TRASLADO y ESPECIFICAR FECHA DE ENTREGA, INDICAR SI CUENTA CON STO"/>
        <s v="EL HOSPITAL CLÍNICO DE MAGALLANES REQUIERE AMILORIDA 5 MG CM. INDICAR AL COTIZAR: VALOR UNITARIO TOTAL, PRESENTACIÓN (CM), FECHA VCTO, ADJUNTAR FICHA TÉCNICA Y/O REGISTRO ISP, TIPO DE TRASLADO (ESPECIFICAR, PARA ACORDAR RETIRO CARGO HOSPITAL DE SER NECESA"/>
        <s v="EL HCM REQUIERE GLUCOSA 5% MTZ ENVASE SEMIRIGIDO 250 ML. INDICAR FECHA DE ENTREGA EN BODEGA HCM, FACTOR EMPAQUE, FECHA VCTO, ADJUNTAR FICHA TÉCNICA Y/O REGISTRO ISP, TIPO DE TRASLADO. POSTULAR SOLO SI CUENTA CON STOCK PARA DESPACHO INMEDIATO. COMPRA SUJET"/>
        <s v="EL HOSPITAL CLÍNICO DE MAGALLANES REQUIERE PETIDINA 100 MG 2 ML SOL INY. INDICAR AL COTIZAR: VALOR UNITARIO TOTAL, PRESENTACIÓN (UD), FECHA VCTO, ADJUNTAR FICHA TÉCNICA Y/O REGISTRO ISP, TIPO DE TRASLADO CARGO PROVEEDOR (ESPECIFICAR, PARA ACORDAR RETIRO C"/>
        <s v="EL HOSPITAL CLÍNICO DE MAGALLANES REQUIERE EPLERENONA 50 MG CM. INDICAR AL COTIZAR: VALOR UNITARIO TOTAL, PRESENTACIÓN (CM), FECHA VCTO, ADJUNTAR FICHA TÉCNICA Y/O REGISTRO ISP, TIPO DE TRASLADO Y FECHA ESPECIFICA DE ENTREGA. DESPACHOS PARCIALIZADOS (ESPE"/>
        <s v="EL HOSPITAL CLÍNICO DE MAGALLANES REQUIERE FENOFIBRATO 200 MG CM. INDICAR AL COTIZAR: VALOR UNITARIO TOTAL, PRESENTACIÓN (CM), FECHA VCTO, ADJUNTAR FICHA TÉCNICA Y/O REGISTRO ISP, TIPO DE TRASLADO CARGO PROVEEDOR (ESPECIFICAR, PARA ACORDAR RETIRO CARGO HO"/>
        <s v="EL HOSPITAL CLÍNICO DE MAGALLANES REQUIERE CLOBETASOL 0.05 % CREMA . INDICAR AL COTIZAR: VALOR UNITARIO TOTAL, PRESENTACIÓN (ML), FECHA VCTO, ADJUNTAR FICHA TÉCNICA Y/O REGISTRO ISP, TIPO DE TRASLADO (ESPECIFICAR, PARA ACORDAR RETIRO CARGO HOSPITAL DE SER"/>
        <s v="EL HOSPITAL CLÍNICO DE MAGALLANES REQUIERE MAGNESIO LACTATO 835 MG CM LP. INDICAR AL COTIZAR: VALOR UNITARIO TOTAL, PRESENTACIÓN (CM), FECHA VCTO, ADJUNTAR FICHA TÉCNICA Y/O REGISTRO ISP, TIPO DE TRASLADO CARGO PROVEEDOR (ESPECIFICAR, PARA ACORDAR RETIRO "/>
        <s v="EL HOSPITAL CLÍNICO DE MAGALLANES REQUIERE SEVELAMER 800 MG CM. INDICAR AL COTIZAR: VALOR UNITARIO TOTAL, PRESENTACIÓN (CM), FECHA VCTO, ADJUNTAR FICHA TÉCNICA Y/O REGISTRO ISP, TIPO DE TRASLADO CARGO PROVEEDOR (ESPECIFICAR, PARA ACORDAR RETIRO CARGO HOSP"/>
        <s v="EL HOSPITAL CLÍNICO DE MAGALLANES REQUIERE PIRFENIDONA 267 MG CP. INDICAR AL COTIZAR: VALOR UNITARIO TOTAL, PRESENTACIÓN (ML), FECHA VCTO, ADJUNTAR FICHA TÉCNICA Y/O REGISTRO ISP, TIPO DE TRASLADO (ESPECIFICAR, PARA ACORDAR RETIRO CARGO HOSPITAL DE SER NE"/>
        <s v="EL HOSPITAL CLÍNICO DE MAGALLANES REQUIERE FLECAINIDA ACETATO 100 MG CM. INDICAR AL COTIZAR: VALOR UNITARIO TOTAL, PRESENTACIÓN (CM), FECHA VCTO, ADJUNTAR FICHA TÉCNICA Y/O REGISTRO ISP, TIPO DE TRASLADO CARGO PROVEEDOR (ESPECIFICAR, PARA ACORDAR RETIRO C"/>
        <s v="EL HOSPITAL CLÍNICO DE MAGALLANES REQUIERE FLECAINIDA 100 MG CM. INDICAR AL COTIZAR: VALOR UNITARIO TOTAL, PRESENTACIÓN (CM), FECHA VCTO, ADJUNTAR FICHA TÉCNICA Y/O REGISTRO ISP, TIPO DE TRASLADO CARGO PROVEEDOR (ESPECIFICAR, PARA ACORDAR RETIRO CARGO HOS"/>
        <s v="EL HOSPITAL CLÍNICO DE MAGALLANES REQUIERE DEFLAZACORT 6 MG CM. INDICAR AL COTIZAR: VALOR UNITARIO TOTAL, PRESENTACIÓN (CM), FECHA VCTO, ADJUNTAR FICHA TÉCNICA Y/O REGISTRO ISP, TIPO DE TRASLADO CARGO PROVEEDOR (ESPECIFICAR, PARA ACORDAR RETIRO CARGO HOSP"/>
        <s v="EL HOSPITAL CLÍNICO DE MAGALLANES REQUIERE PROGESTERONA 100 MG CP. INDICAR AL COTIZAR: VALOR UNITARIO TOTAL, PRESENTACIÓN (CP), FECHA VCTO, ADJUNTAR FICHA TÉCNICA Y/O REGISTRO ISP, TIPO DE TRASLADO CARGO PROVEEDOR (ESPECIFICAR, PARA ACORDAR RETIRO CARGO H"/>
        <s v="EL HOSPITAL CLÍNICO DE MAGALLANES REQUIERE OLANZAPINA 5 MG CM. INDICAR AL COTIZAR: VALOR UNITARIO TOTAL, PRESENTACIÓN (CM), FECHA VCTO, ADJUNTAR FICHA TÉCNICA Y/O REGISTRO ISP, TIPO DE TRASLADO Y FECHA ESPECIFICA DE ENTREGA (ESPECIFICAR, PARA ACORDAR RETI"/>
        <s v="EL HOSPITAL CLÍNICO DE MAGALLANES REQUIERE FLECAINIDA 100 MG CM. INDICAR AL COTIZAR: VALOR UNITARIO TOTAL, PRESENTACIÓN (CM), FECHA VCTO, ADJUNTAR FICHA TÉCNICA Y/O REGISTRO ISP, TIPO DE TRASLADO Y FECHA ESPECIFICA DE ENTREGA (ESPECIFICAR, PARA ACORDAR RE"/>
        <s v="EL HOSPITAL CLÍNICO DE MAGALLANES REQUIERE ALFACETOANALOGOS DE AMINOACIDOS. INDICAR AL COTIZAR: VALOR UNITARIO TOTAL, PRESENTACIÓN (ML), FECHA VCTO, ADJUNTAR FICHA TÉCNICA Y/O REGISTRO ISP, TIPO DE TRASLADO (ESPECIFICAR, PARA ACORDAR RETIRO CARGO HOSPITAL"/>
        <s v="EL HOSPITAL CLÍNICO DE MAGALLANES REQUIERE CLONIDINA 0,1 mg cm INDICAR AL COTIZAR: VALOR UNITARIO TOTAL, PRESENTACIÓN (ML), FECHA VCTO, ADJUNTAR FICHA TÉCNICA Y/O REGISTRO ISP, TIPO DE TRASLADO (ESPECIFICAR, PARA ACORDAR RETIRO CARGO HOSPITAL DE SER NECES"/>
        <s v="EL HOSPITAL CLÍNICO DE MAGALLANES REQUIERE VITAMINA B1/B6/B12 CM. INDICAR AL COTIZAR: VALOR UNITARIO TOTAL, PRESENTACIÓN (CM), FECHA VCTO, ADJUNTAR FICHA TÉCNICA Y/O REGISTRO ISP, TIPO DE TRASLADO (ESPECIFICAR, PARA ACORDAR RETIRO CARGO HOSPITAL DE SER NE"/>
        <s v="EL HOSPITAL CLÍNICO DE MAGALLANES REQUIERE VITAMINAS COMPLEJO B 1000 MCG CIANOCOBALAMINA CP. INDICAR AL COTIZAR: VALOR UNITARIO TOTAL, PRESENTACIÓN (CP), FECHA VCTO, ADJUNTAR FICHA TÉCNICA Y/O REGISTRO ISP, TIPO DE TRASLADO Y FECHA ESPECIFICA DE ENTREGA ("/>
        <s v="EL HOSPITAL CLÍNICO DE MAGALLANES REQUIERE POTASIO CLORURO 600 MG CM LIB PR. INDICAR AL COTIZAR: VALOR UNITARIO TOTAL, PRESENTACIÓN (CM), FECHA VCTO, ADJUNTAR FICHA TÉCNICA Y/O REGISTRO ISP, TIPO DE TRASLADO (ESPECIFICAR, PARA ACORDAR RETIRO CARGO HOSPITA"/>
        <s v="EL HOSPITAL CLÍNICO DE MAGALLANES REQUIERE ESTRADIOL 17 B 1 MG CM. INDICAR AL COTIZAR: VALOR UNITARIO TOTAL, PRESENTACIÓN (CP), FECHA VCTO, ADJUNTAR FICHA TÉCNICA Y/O REGISTRO ISP, TIPO DE TRASLADO Y FECHA ESPECIFICA DE ENTREGA (ESPECIFICAR, PARA ACORDAR "/>
        <s v="EL HOSPITAL CLÍNICO DE MAGALLANES REQUIERE ESTRADIOL 17 B 1 MG CM. INDICAR AL COTIZAR: VALOR UNITARIO TOTAL, PRESENTACIÓN (CM), FECHA VCTO, ADJUNTAR FICHA TÉCNICA Y/O REGISTRO ISP, TIPO DE TRASLADO Y FECHA ESPECIFICA DE ENTREGA (ESPECIFICAR, PARA ACORDAR "/>
        <s v="EL HOSPITAL CLÍNICO DE MAGALLANES REQUIERE PARGEVERINA AM 5 MG ML. INDICAR AL COTIZAR: VALOR UNITARIO TOTAL, PRESENTACIÓN (ML), FECHA VCTO, ADJUNTAR FICHA TÉCNICA Y/O REGISTRO ISP, TIPO DE TRASLADO CARGO PROVEEDOR (ESPECIFICAR, PARA ACORDAR RETIRO CARGO H"/>
        <s v="EL HOSPITAL CLÍNICO DE MAGALLANES REQUIERE SALES REHIDRATANTES 90 MEQ SODIO. INDICAR AL COTIZAR: VALOR UNITARIO TOTAL, PRESENTACIÓN (UD), FECHA VCTO, ADJUNTAR FICHA TÉCNICA Y/O REGISTRO ISP, TIPO DE TRASLADO Y FECHA ESPECIFICA DE ENTREGA (ESPECIFICAR, PAR"/>
        <s v="EL HOSPITAL CLÍNICO DE MAGALLANES REQUIERE CIANOCOBALAMINA 1000 MG CP. INDICAR AL COTIZAR: VALOR UNITARIO TOTAL, PRESENTACIÓN (CP), FECHA VCTO, ADJUNTAR FICHA TÉCNICA Y/O REGISTRO ISP, TIPO DE TRASLADO CARGO PROVEEDOR CON DESPACHO PARCIALIZADO A SOLICITUD"/>
        <s v="EL HOSPITAL CLÍNICO DE MAGALLANES REQUIERE ESTRADIOL 17 B 1 MG CM. INDICAR AL COTIZAR: VALOR UNITARIO TOTAL, PRESENTACIÓN (CM), FECHA VCTO, ADJUNTAR FICHA TÉCNICA Y/O REGISTRO ISP, TIPO DE TRASLADO (ESPECIFICAR, PARA ACORDAR RETIRO CARGO HOSPITAL DE SER N"/>
        <s v="EL HCM REQUIERE ONDANSETRON 2MG/ML SOL. INY. A. O FAM 2ML. INDICAR FECHA DE ENTREGA EN BODEGA HCM, FACTOR EMPAQUE, FECHA VCTO, ADJUNTAR FICHA TÉCNICA Y/O REGISTRO ISP, TIPO DE TRASLADO. POSTULAR SOLO SI CUENTA CON STOCK PARA DESPACHO INMEDIATO. COMPRA SUJ"/>
        <s v="EL HOSPITAL CLÍNICO DE MAGALLANES REQUIERE LIDOCAINA HCI 2% 5 ML. INDICAR AL COTIZAR: VALOR UNITARIO TOTAL, PRESENTACIÓN (ML), FECHA VCTO, ADJUNTAR FICHA TÉCNICA Y/O REGISTRO ISP, TIPO DE TRASLADO (ESPECIFICAR, PARA ACORDAR RETIRO CARGO HOSPITAL DE SER NE"/>
        <s v="EL HOSPITAL CLÍNICO DE MAGALLANES REQUIERE SALES REHIDRATANTES 90 MEQ SODIO. INDICAR AL COTIZAR: VALOR UNITARIO TOTAL, PRESENTACIÓN (GR), FECHA VCTO, ADJUNTAR FICHA TÉCNICA Y/O REGISTRO ISP, TIPO DE TRASLADO CARGO PROVEEDOR (ESPECIFICAR, PARA ACORDAR RETI"/>
        <s v="EL HOSPITAL CLÍNICO DE MAGALLANES REQUIERE TIAMAZOL 5 MG CM. INDICAR AL COTIZAR: VALOR UNITARIO TOTAL, PRESENTACIÓN (CM), FECHA VCTO, ADJUNTAR FICHA TÉCNICA Y/O REGISTRO ISP, TIPO DE TRASLADO CARGO PROVEEDOR (ESPECIFICAR, PARA ACORDAR RETIRO CARGO HOSPITA"/>
        <s v="SE REQUIEREN 7200 PILAS N°13 PARA AUDIFONOS, SE REQUERIRAN DESPACHOS PARCIALIZADOS DE 720 UNIDADES MENSUALES (MARZO A DICIEMBRE 2025)."/>
        <s v="EL HOSPITAL CLÍNICO DE MAGALLANES REQUIERE CALCIO CITRATO TETRAHIDRATADO/VITAMINA D3 (C) 313 MG. INDICAR AL COTIZAR: VALOR UNITARIO TOTAL, PRESENTACIÓN (CP), FECHA VCTO, ADJUNTAR FICHA TÉCNICA Y/O REGISTRO ISP, TIPO DE TRASLADO Y FECHA ESPECIFICA DE ENTRE"/>
        <s v="EL HOSPITAL CLÍNICO DE MAGALLANES REQUIERE ZOLPIDEM 10 MG CM. INDICAR AL COTIZAR: VALOR UNITARIO TOTAL, PRESENTACIÓN (CM), FECHA VCTO, ADJUNTAR FICHA TÉCNICA Y/O REGISTRO ISP, TIPO DE TRASLADO (ESPECIFICAR, PARA ACORDAR RETIRO CARGO HOSPITAL DE SER NECESA"/>
        <s v="SE REQUIEREN PILAS PARA AUDIFONOS DE USUARIOS DEL HCM, SE DEBE ADJUNTAR FICHA TÉCNICA E INDICAR PLAZO DE ENTREGA, INDICAR SI CUENTA CON STOCK PARA DESPACHO INMEDIATO. SE DESESTIMARÁ OFERTA QUE INDIQUE VALOR REFERENCIAL $0 o $1, O QUE OMITA INFORMACIÓN SOL"/>
        <s v="EL HOSPITAL CLÍNICO DE MAGALLANES REQUIERE VITAMINA D3 ( C ) 313 MG / 400 UI. INDICAR AL COTIZAR: VALOR UNITARIO TOTAL, PRESENTACIÓN (CP), FECHA VCTO, ADJUNTAR FICHA TÉCNICA Y/O REGISTRO ISP, TIPO DE TRASLADO (ESPECIFICAR, PARA ACORDAR RETIRO CARGO HOSPIT"/>
        <s v="EL HOSPITAL CLÍNICO DE MAGALLANES REQUIERE OXITOCINA SINTETICA AM 5 UI. INDICAR AL COTIZAR: VALOR UNITARIO TOTAL, PRESENTACIÓN (AM), FECHA VCTO, ADJUNTAR FICHA TÉCNICA Y/O REGISTRO ISP, TIPO DE TRASLADO CARGO PROVEEDOR (ESPECIFICAR, PARA ACORDAR RETIRO CA"/>
        <s v="EL HOSPITAL CLÍNICO DE MAGALLANES REQUIERE LEVOFLOXACINO 500 MG CM. INDICAR AL COTIZAR: VALOR UNITARIO TOTAL, PRESENTACIÓN (CM), FECHA VCTO, ADJUNTAR FICHA TÉCNICA Y/O REGISTRO ISP, TIPO DE TRASLADO (ESPECIFICAR, PARA ACORDAR RETIRO CARGO HOSPITAL DE SER "/>
        <s v="EL HOSPITAL CLÍNICO DE MAGALLANES REQUIERE LEVETIRACETAM 1000 MG CM. INDICAR AL COTIZAR: VALOR UNITARIO TOTAL, PRESENTACIÓN (CM), FECHA VCTO, ADJUNTAR FICHA TÉCNICA Y/O REGISTRO ISP, TIPO DE TRASLADO (ESPECIFICAR, PARA ACORDAR RETIRO CARGO HOSPITAL DE SER"/>
        <s v="EL HOSPITAL CLÍNICO DE MAGALLANES REQUIERE VITAMINA B1/B6/B12 CM. INDICAR AL COTIZAR: VALOR UNITARIO TOTAL, PRESENTACIÓN (CM), FECHA VCTO, ADJUNTAR FICHA TÉCNICA Y/O REGISTRO ISP, TIPO DE TRASLADO CARGO PROVEEDOR (ESPECIFICAR, PARA ACORDAR RETIRO CARGO HO"/>
        <s v="EL HOSPITAL CLÍNICO DE MAGALLANES REQUIERE CINTA GLICEMIA CARE SENS N VOICE. INDICAR AL COTIZAR: VALOR UNITARIO TOTAL, PRESENTACIÓN (UD), FECHA VCTO, ADJUNTAR FICHA TÉCNICA Y/O REGISTRO ISP, TIPO DE TRASLADO CARGO PROVEEDOR (ESPECIFICAR, PARA ACORDAR RETI"/>
        <s v="EL HOSPITAL CLÍNICO DE MAGALLANES REQUIERE DILTIAZEM 60 MG CM. INDICAR AL COTIZAR: VALOR UNITARIO TOTAL, PRESENTACIÓN (CM), FECHA VCTO, ADJUNTAR FICHA TÉCNICA Y/O REGISTRO ISP, TIPO DE TRASLADO (ESPECIFICAR, PARA ACORDAR RETIRO CARGO HOSPITAL DE SER NECES"/>
        <s v="EL HOSPITAL CLÍNICO DE MAGALLANES REQUIERE CALCIO CITRATO TETRAHIDRATADO / VITAMINA D3 ( C ) 313 MG / 400 UI. INDICAR AL COTIZAR: VALOR UNITARIO TOTAL, PRESENTACIÓN (CM), FECHA VCTO, ADJUNTAR FICHA TÉCNICA Y/O REGISTRO ISP, TIPO DE TRASLADO CARGO PROVEEDO"/>
        <s v="EL HOSPITAL CLÍNICO DE MAGALLANES REQUIERE PRIMIDONA 250 MG CM. INDICAR AL COTIZAR: VALOR UNITARIO TOTAL, PRESENTACIÓN (CM), FECHA VCTO, ADJUNTAR FICHA TÉCNICA Y/O REGISTRO ISP, TIPO DE TRASLADO CARGO PROVEEDOR (ESPECIFICAR, PARA ACORDAR RETIRO CARGO HOSP"/>
        <s v="EL HOSPITAL CLÍNICO DE MAGALLANES REQUIERE DICLOFENACO 12,5 MG SUP. INDICAR AL COTIZAR: VALOR UNITARIO TOTAL, PRESENTACIÓN (SUP), FECHA VCTO, ADJUNTAR FICHA TÉCNICA Y/O REGISTRO ISP, TIPO DE TRASLADO CARGO PROVEEDOR (ESPECIFICAR, PARA ACORDAR RETIRO CARGO"/>
        <s v="EL HOSPITAL CLÍNICO DE MAGALLANES REQUIERE CALCIO CITRATO TETRAHIDRATADO - VITAMINA D3 (C) 313 MG 400 UI CP. INDICAR AL COTIZAR: VALOR UNITARIO TOTAL, PRESENTACIÓN (CP), FECHA VCTO, ADJUNTAR FICHA TÉCNICA Y/O REGISTRO ISP, TIPO DE TRASLADO CARGO PROVEEDOR"/>
        <s v="EL HOSPITAL CLÍNICO DE MAGALLANES REQUIERE TIAMINA CLORHIDRATO 10 MG CM. INDICAR AL COTIZAR: VALOR UNITARIO TOTAL, PRESENTACIÓN (CM), FECHA VCTO, ADJUNTAR FICHA TÉCNICA Y/O REGISTRO ISP, TIPO DE TRASLADO CARGO PROVEEDOR (ESPECIFICAR, PARA ACORDAR RETIRO C"/>
        <s v="EL HOSPITAL CLÍNICO DE MAGALLANES REQUIERE ESOMEPRAZOL MAGNÉSICO 20 MG CM. INDICAR AL COTIZAR: VALOR UNITARIO TOTAL, PRESENTACIÓN (CM), FECHA VCTO, ADJUNTAR FICHA TÉCNICA Y/O REGISTRO ISP, TIPO DE TRASLADO CARGO PROVEEDOR, SE SOLICITARAN DESPACHOS PARCIAL"/>
        <s v="EL HOSPITAL CLÍNICO DE MAGALLANES REQUIERE SUPLEMENTO CITALOPRAM 20 MG CM. INDICAR AL COTIZAR: VALOR UNITARIO TOTAL, PRESENTACIÓN (CM), FECHA VCTO, ADJUNTAR FICHA TÉCNICA Y/O REGISTRO ISP, TIPO DE TRASLADO (ESPECIFICAR, PARA ACORDAR RETIRO CARGO HOSPITAL "/>
        <s v="EL HOSPITAL CLÍNICO DE MAGALLANES REQUIERE POLIVITAMINICO CP. INDICAR AL COTIZAR: VALOR UNITARIO TOTAL, PRESENTACIÓN (CP), FECHA VCTO, ADJUNTAR FICHA TÉCNICA Y/O REGISTRO ISP, TIPO DE TRASLADO CARGO PROVEEDOR (ESPECIFICAR, PARA ACORDAR RETIRO CARGO HOSPIT"/>
        <s v="EL HOSPITAL CLÍNICO DE MAGALLANES REQUIERE TRAMADOL 50 MG CM. INDICAR AL COTIZAR: VALOR UNITARIO TOTAL, PRESENTACIÓN (CM), FECHA VCTO, ADJUNTAR FICHA TÉCNICA Y/O REGISTRO ISP, TIPO DE TRASLADO (ESPECIFICAR, PARA ACORDAR RETIRO CARGO HOSPITAL DE SER NECESA"/>
        <s v="EL HOSPITAL CLÍNICO DE MAGALLANES REQUIERE ATORVASTATINA 40 MG CM. INDICAR AL COTIZAR: VALOR UNITARIO TOTAL, PRESENTACIÓN (CM), FECHA VCTO, ADJUNTAR FICHA TÉCNICA Y/O REGISTRO ISP, TIPO DE TRASLADO CARGO PROVEEDOR (ESPECIFICAR, PARA ACORDAR RETIRO CARGO H"/>
        <s v="EL HOSPITAL CLÍNICO DE MAGALLANES REQUIERE ATENOLOL 100 MG CM. INDICAR AL COTIZAR: VALOR UNITARIO TOTAL, PRESENTACIÓN (CM), FECHA VCTO, ADJUNTAR FICHA TÉCNICA Y/O REGISTRO ISP, TIPO DE TRASLADO CARGO PROVEEDOR (ESPECIFICAR, PARA ACORDAR RETIRO CARGO HOSPI"/>
        <s v="EL HOSPITAL CLÍNICO DE MAGALLANES REQUIERE METFORMINA CLORHIDRATO 850 MG CM. INDICAR AL COTIZAR: VALOR UNITARIO TOTAL, PRESENTACIÓN (CM), FECHA VCTO, ADJUNTAR FICHA TÉCNICA Y/O REGISTRO ISP, TIPO DE TRASLADO CARGO PROVEEDOR (ESPECIFICAR, PARA ACORDAR RETI"/>
        <s v="EL HOSPITAL CLÍNICO DE MAGALLANES REQUIERE AMLODIPINO 10 MG CM. INDICAR AL COTIZAR: VALOR UNITARIO TOTAL, PRESENTACIÓN (CM), FECHA VCTO, ADJUNTAR FICHA TÉCNICA Y/O REGISTRO ISP, TIPO DE TRASLADO CARGO PROVEEDOR (ESPECIFICAR, PARA ACORDAR RETIRO CARGO HOSP"/>
        <s v="EL HOSPITAL CLÍNICO DE MAGALLANES REQUIERE CELECOXIB 200 MG CP. INDICAR AL COTIZAR: VALOR UNITARIO TOTAL, PRESENTACIÓN (CP), FECHA VCTO, ADJUNTAR FICHA TÉCNICA Y/O REGISTRO ISP, TIPO DE TRASLADO y ESPECIFICAR FECHA DE ENTREGA, INDICAR SI CUENTA CON STOCK "/>
        <s v="EL HCM REQUIERE ZOPICLONA 7,5 MG CM. INDICAR FECHA DE ENTREGA EN BODEGA HCM, FACTOR EMPAQUE, FECHA VCTO, ADJUNTAR FICHA TÉCNICA Y/O REGISTRO ISP, TIPO DE TRASLADO. POSTULAR SOLO SI CUENTA CON STOCK PARA DESPACHO INMEDIATO. COMPRA SUJETA A MULTA DE NO RESP"/>
        <s v="EL HOSPITAL CLÍNICO DE MAGALLANES REQUIERE CARVEDILOL 6,25 MG CM. INDICAR AL COTIZAR: VALOR UNITARIO TOTAL, PRESENTACIÓN (CM), FECHA VCTO, ADJUNTAR FICHA TÉCNICA Y/O REGISTRO ISP, TIPO DE TRASLADO CARGO PROVEEDOR (ESPECIFICAR, PARA ACORDAR RETIRO CARGO HO"/>
        <s v="EL HOSPITAL CLÍNICO DE MAGALLANES REQUIERE PROPRANOLOL 10 MG CM. INDICAR AL COTIZAR: VALOR UNITARIO TOTAL, PRESENTACIÓN (CM), FECHA VCTO, ADJUNTAR FICHA TÉCNICA Y/O REGISTRO ISP, TIPO DE TRASLADO CARGO PROVEEDOR CON DESPACHOS PARCIALIZADOS (ESPECIFICAR, P"/>
        <s v="EL HOSPITAL CLÍNICO DE MAGALLANES REQUIERE AMLODIPINO 5 MG CM. INDICAR AL COTIZAR: VALOR UNITARIO TOTAL, PRESENTACIÓN (CM), FECHA VCTO, ADJUNTAR FICHA TÉCNICA Y/O REGISTRO ISP, TIPO DE TRASLADO CARGO PROVEEDOR (ESPECIFICAR, PARA ACORDAR RETIRO CARGO HOSPI"/>
        <s v="EL HOSPITAL CLÍNICO DE MAGALLANES REQUIERE FLUOXETINA 20 MG CM INDICAR AL COTIZAR: VALOR UNITARIO TOTAL, PRESENTACIÓN (CM), FECHA VCTO, ADJUNTAR FICHA TÉCNICA Y/O REGISTRO ISP, TIPO DE TRASLADO CARGO PROVEEDOR (ESPECIFICAR, PARA ACORDAR RETIRO CARGO HOSPI"/>
        <s v="EL HOSPITAL CLÍNICO DE MAGALLANES REQUIERE ISOSORBIDE DINITRATO 10 MG CM. INDICAR AL COTIZAR: VALOR UNITARIO TOTAL, PRESENTACIÓN (CM), FECHA VCTO, ADJUNTAR FICHA TÉCNICA Y/O REGISTRO ISP, TIPO DE TRASLADO CARGO PROVEEDOR (ESPECIFICAR, PARA ACORDAR RETIRO "/>
      </sharedItems>
    </cacheField>
    <cacheField name="CodigoProductoCotizadoONU" numFmtId="0">
      <sharedItems containsSemiMixedTypes="0" containsString="0" containsNumber="1" containsInteger="1">
        <n v="8.5121902E7"/>
        <n v="5.1191905E7"/>
        <n v="5.1142106E7"/>
        <n v="5.1131514E7"/>
        <n v="5.1141704E7"/>
        <n v="5.1181722E7"/>
        <n v="5.1142801E7"/>
        <n v="5.1181508E7"/>
        <n v="5.1181707E7"/>
        <n v="5.117191E7"/>
        <n v="5.1182101E7"/>
        <n v="5.1161708E7"/>
        <n v="5.1131909E7"/>
        <n v="5.1161626E7"/>
        <n v="5.1191603E7"/>
        <n v="5.1111507E7"/>
        <n v="5.1141518E7"/>
        <n v="5.120151E7"/>
        <n v="5.1101572E7"/>
        <n v="5.1171605E7"/>
        <n v="5.1141513E7"/>
        <n v="5.1191902E7"/>
        <n v="5.110271E7"/>
        <n v="5.110153E7"/>
        <n v="5.1241114E7"/>
        <n v="5.1121807E7"/>
        <n v="5.1161703E7"/>
        <n v="5.1142934E7"/>
        <n v="4.2281601E7"/>
        <n v="5.1151738E7"/>
        <n v="4.2281711E7"/>
        <n v="5.1152002E7"/>
        <n v="5.124112E7"/>
        <n v="5.1141703E7"/>
        <n v="5.1142232E7"/>
        <n v="5.1241115E7"/>
        <n v="5.1102707E7"/>
        <n v="5.1141725E7"/>
        <n v="1.2191601E7"/>
        <n v="5.1142601E7"/>
        <n v="5.1171608E7"/>
        <n v="5.1142148E7"/>
        <n v="5.1131607E7"/>
        <n v="5.1101597E7"/>
        <n v="5.1161615E7"/>
        <n v="5.1121603E7"/>
        <n v="5.1171631E7"/>
        <n v="5.3131608E7"/>
        <n v="5.1101567E7"/>
        <n v="5.1102332E7"/>
        <n v="5.1142904E7"/>
        <n v="5.1151703E7"/>
        <n v="5.1181805E7"/>
        <n v="4.2294705E7"/>
        <n v="5.1121707E7"/>
        <n v="5.1171806E7"/>
        <n v="5.1121718E7"/>
        <n v="5.1131808E7"/>
        <n v="5.1142235E7"/>
        <n v="5.1142618E7"/>
        <n v="5.124122E7"/>
        <n v="5.1142149E7"/>
        <n v="5.1121515E7"/>
        <n v="5.1191507E7"/>
        <n v="5.1191506E7"/>
        <n v="5.1191601E7"/>
        <n v="5.1121809E7"/>
        <n v="5.1181742E7"/>
        <n v="1.1101707E7"/>
        <n v="5.1201501E7"/>
        <n v="5.1181718E7"/>
        <n v="5.1181818E7"/>
        <n v="5.1121504E7"/>
        <n v="5.1161812E7"/>
        <n v="5.1191802E7"/>
        <n v="5.1181813E7"/>
        <n v="5.1172101E7"/>
        <n v="5.1171816E7"/>
        <n v="5.1181605E7"/>
        <n v="2.6111706E7"/>
        <n v="1.2162205E7"/>
        <n v="5.1141808E7"/>
        <n v="5.1182203E7"/>
        <n v="5.1101538E7"/>
        <n v="4.1116201E7"/>
        <n v="5.1121713E7"/>
        <n v="1.1101511E7"/>
        <n v="5.1141526E7"/>
        <n v="5.1142121E7"/>
        <n v="5.1171913E7"/>
        <n v="5.1141617E7"/>
        <n v="5.1121818E7"/>
        <n v="5.1151801E7"/>
        <n v="5.1181517E7"/>
        <n v="5.1142131E7"/>
        <n v="5.114181E7"/>
        <n v="5.1121709E7"/>
        <n v="5.1151812E7"/>
        <n v="5.1101807E7"/>
        <n v="5.1121602E7"/>
        <n v="5.1191517E7"/>
      </sharedItems>
    </cacheField>
    <cacheField name="RUTProveedorCotizacion" numFmtId="0">
      <sharedItems>
        <s v="76.447.530-5"/>
        <s v="85.025.700-0"/>
        <s v="77.337.544-5"/>
        <s v="59.144.890-0"/>
        <s v="76.237.266-5"/>
        <s v="76.394.174-4"/>
        <s v="76.764.759-K"/>
        <s v="76.926.592-9"/>
        <s v="76.125.564-9"/>
        <s v="76.084.945-6"/>
        <s v="96.981.250-9"/>
        <s v="91.637.000-8"/>
        <s v="76.985.933-0"/>
        <s v="76.786.297-0"/>
        <s v="96.519.830-k"/>
        <s v="76.111.113-2"/>
        <s v="96.582.310-7"/>
        <s v="77.423.498-5"/>
        <s v="77.240.238-4"/>
        <s v="76.830.090-9"/>
        <s v="96.945.670-2"/>
        <s v="77.478.120-k"/>
        <s v="96.756.540-7"/>
        <s v="79.722.860-5"/>
        <s v="96.989.940-k"/>
        <s v="77.768.990-8"/>
        <s v="77.542.429-K"/>
        <s v="77.354.084-5"/>
        <s v="76.389.383-9"/>
        <s v="79.591.440-4"/>
        <s v="76.328.242-2"/>
        <s v="76.692.953-2"/>
        <s v="90.073.000-4"/>
        <s v="79.581.120-6"/>
        <s v="78.026.330-K"/>
        <s v="78.233.420-4"/>
        <s v="78.045.809-7"/>
        <s v="76.956.140-4"/>
        <s v="76.055.804-4"/>
        <s v="76.099.774-9"/>
        <s v="91.546.000-3"/>
        <s v="77.354.932-K"/>
        <s v="76.418.921-3"/>
        <s v="76.696.518-0"/>
        <s v="88.466.300-8"/>
        <s v="76.205.137-0"/>
        <s v="76.133.312-7"/>
        <s v="76.709.214-8"/>
        <s v="94.544.000-7"/>
        <s v="77.528.837-K"/>
        <s v="81.378.300-2"/>
        <s v="77.027.029-4"/>
        <s v="76.383.221-K"/>
        <s v="76.032.335-7"/>
        <s v="77.145.531-K"/>
        <s v="80.447.400-5"/>
        <s v="76.032.097-8"/>
        <s v="76.377.981-5"/>
        <s v="88.597.500-3"/>
        <s v="76.030.398-4"/>
        <s v="76.458.051-6"/>
        <s v="76.449.981-6"/>
        <s v="76.453.466-2"/>
        <s v="76.136.334-4"/>
        <s v="76.479.314-5"/>
        <s v="76.669.630-9"/>
        <s v="76.440.218-9"/>
        <s v="96.026.000-7"/>
        <s v="96.776.130-3"/>
        <s v="76.175.092-5"/>
        <s v="78.583.750-9"/>
        <s v="77.477.947-7"/>
      </sharedItems>
    </cacheField>
    <cacheField name="DetalleCotizacion" numFmtId="0">
      <sharedItems>
        <s v="Fármaco innovador y/o referente. Venc &gt; 1 año, despacho 2-3 días hábiles desde aceptación de orden de compra. Flete incluido. Cuando genere su OC, el rut de compra y dirección de despacho deben poseer autorización sanitaria vigente."/>
        <s v="Validez de la oferta 90 días. Facturación mínima $250.000.- neto. Vencimiento superior a doce meses, ENTREGA: 72Horas hábiles una vez aceptada la orden de compra. Condiciones Comerciales, Flete incluido. contacto gsk.ordenesdecompra@gsk.com"/>
        <s v="Validez de la oferta 90 días. Facturación mínima $250.000.- neto. Vencimiento superior a doce meses, ENTREGA: 48 Horas hábiles una vez aceptada la orden de compra. Políticas de Devolución punto d), Flete incluido. contacto gsk.ordenesdecompra@gsk.com"/>
        <s v="Se adjunta cotización detallada, Contacto F. 225104550, contacto@scmpharma.cl, Despacho sin costo, Envio 7 dias- monto mínimo de despacho $ 100.000.- Cotización valida por 15 días."/>
        <s v="PRODUCTO PEDEA, autorizado en Chile bajo Resolución Exenta N° 33509 (adjunta), unidades en Chile disponibles para despacho inmediato, vencimiento 31.12.2025."/>
        <s v="22100383 FERINJECT SOLUCION INYECTABLE 500/10 ML - 500MG DE HIERRO COMO CARBOXIMALTOSA DE HIERRO - FRASCO DE SOLUCION INYECTABLE REG. ISP F-20175/23, FECHA DE VCTO 30-06-2026, DESPACHO EN 02 D?AS MONTO M?NIMO DE DESPACHO $300.000 NETO"/>
        <s v="RISTRIONA RISPERIDONA POLVO PARA SUSPENSIÓN INYECTABLE DE LIBERACIÓN PROLONGADA 37,5 mg CON SOLVENTE REG ISP F-27100/22 FABRICANTE: LABORATORIO PHARMATHEN S.A., GRECIA PERIODO DE EFICACIA, 24 MESES"/>
        <s v="BREXOVENT LF INHBUC 50 MCG X 120 DSS vence 4/26 despacho GRATIS 48 horas una vez aceptada al OC se adjunta ficha fono: 992657125"/>
        <s v="TEGLUTIK SUSPENSIÓN ORAL 5 mg/mL (RILUZOL). Presentación: solución oral 5 mg/ml, frasco 300 ml. Vencimiento: 31-07-2025. Tipo de traslado: Aéreo, temperatura ambiente, despacho en 48 horas habiles. Contamos con Stock inmediato."/>
        <s v="JOR. FACTURACION MINIMA $50.000+IVA PARA SANTIAGO Y $75.000+IVA PARA REGIONES, DESPACHO: STGO 24-48 HR Y REGIONES 72 HR, UNIDAD MIN. COTIZADA, SE AJUSTARÁ A FACTOR DE EMPAQUE, REG.ISP, FACT.ELECTRONICA. STOCK DISPONIBLE PARA ENTREGA INMEDIATA."/>
        <s v="EPCLUSA 400/100 COMPRIMIDOS RECUBIERTOS SOFOSBUVIR 400 mg - VELPATASVIR 100mg, REFERENTE Estuche contiene 28 comprimidos recubiertos, Reg. ISP.- F-23583-22, Vcto: 30-04-2027, Plazo Entrega: 3 días hábiles, PRECIO ESTUCHE:$1.428.000"/>
        <s v="EPCLUSA 400/100 COMPRIMIDOS RECUBIERTOS SOFOSBUVIR 400 mg - VELPATASVIR 100mg, REFERENTE Estuche contiene 28 comprimidos recubiertos, Reg. ISP.- F-23583/22, Vcto: 30-04-2027, Plazo Ent: 3 dias hábiles, Valor ofertado x Unidad. STOCK DESPACHO INMEDIATO"/>
        <s v="DEPOMEDROL 80MG - ML - METILPREDNISOLONA. de PFIZER. Precio corresponde a 1 frasco ampolla. Envase de venta caja x 1 Frasco Ampolla. REGISTRO ISP N° F-1276-23 Vencimiento 31-05-2026. Con carta de canje."/>
        <s v="DEPOMEDROL 80MG - ML - METILPREDNISOLONA. de PFIZER. Precio corresponde a 1 frasco ampolla. Envase de venta caja x 1 F A. REG ISP N° F-1276-23. Vencimiento 31-07-2025. Flete incluido en el precio."/>
        <s v="882352 CREON 5.000 FRASCO 20 MG PA PANCREATINA REG ISP B-2707/23 VENCE 30-04-2027 STOCK DESPACHO INMEDIATO COTIZACIÓN LABORATORIOS RECALCINE FLETE INCLUIDO DESPACHO EN 2 DÍAS/48 HORAS MÍN DE FACTURACIÓN 100.000 SE COTIZAN VALORES NETOS"/>
        <s v="SE ADJUNTA COTIZACIÓN FORMAL Y FICHA DE PRODUCTO CON VENCE MAYOR A 12 MESES. PLAZO DE ENTREGA 2 A 3 DÍAS LUEGO DE EMITIDA LA ÓRDEN DE COMPRA. MÍNIMO DE DESPACHO 180.000 PESOS. REPRESENTANTE DE VENTA MARCEL ACUÑA. 9 75770902 VENTAS2@DROGUERIAACONCAGUA.CL"/>
        <s v="FLIXOTIDE LF INH 50 MCG X 120 DS*ENTREGA DE 24 A 48 HORAS, VENCE SUPERIOR A 12 MESES, DESPACHO INCLUIDO EN EL PRECIO, SIN MINIMO DE COMPRA, OFERENTE Ximena Silva/9-57438894/xsilva@adnfarmaceutica.cl"/>
        <s v="SOLU MEDROL 1 GR ACT-O-VIAL METILPREDNISOLONA HEMISUCCINATO DE PFIZER. Precio corresponde a 1 frasco ampolla. Envase de venta caja x 1 frasco Ampolla. REGISTRO ISP N° F-2816-24. Vencimiento: 30-09-2026. MONTO MINIMO PARA DESPACHO 100.000"/>
        <s v="DESMOPRESINA ACET. SLN NASAL 10 MCG/D FC 5 ML EAN:7800086789003 VC:31-12-2026 REG:F-26040 EX1.SE COTIZA PRECIO NETO POR FC PARA DESPACHO 2 DIAS, MONTO MINIMO A FACTURAR Y DESPACHAR $120.000 NETO. PIA MARTINICH VENTAS6@BPH.CL"/>
        <s v="60000000109532 VOLIBRIS 10mg x 30 Comprimidos recubiertos (I) AMBRISENTÁN VENCIMIENTO:Mayor a 12 Meses - ISP: F-22308/20. Despacho 3 días hábiles. Monto mínimo $250.000 Netos."/>
        <s v="VISCOZYME 2.5MG 2.5ML X 30 AMP RH-Dornasa Alfa. REG. ISP B-2934/22. PROCEDENTE F. HOFFMANN - LA ROCHE LTD. SUIZA Vence:31-03-2026. Stock disponible. Entrega 3 a 5 días."/>
        <s v="COD.734005 ALBUMINA HUMANA al 20% 50 ML. Fecha de entrega 2 días hábiles una vez recibida la OC, FA envase unitario. Vcto Mayor a 12 meses. Reg ISP B-1043/21"/>
        <s v="Validez de la oferta 90 días. Facturación mínima $500.000.- neto. Vencimiento superior a doce meses, ENTREGA: 72 Horas hábiles una vez aceptada la orden de compra. Condiciones Comerciales punto 10, Flete incluido. contacto gsk.ordenesdecompra@gsk.com"/>
        <s v="COSTO FLETE INCLUIDO, DESPACHO DE 24 A 48 HORAS, UNA VEZ ACEPTADA LA ORDEN DE COMPRA, SIN MÍNIMO DE FACTURACIÓN, VENCE SUPERIOR A 12 MESES (DSR) dsanchezr@acquainversiones.cl contacto +569 3582 9651"/>
        <s v="SOTYKTU 6 MG X 30 COMP. vence 10/26 despacho GRATIS 48 horas una vez aceptada al OC se adjunta ficha fono: 992657125"/>
        <s v="ENDOXAN AMP. 1GR. CX1 CICLOFOSFAMIDA ENTREGA DE 24 A 48 HRS, VENCE MAS DE 12 MESES, DESPACHO C/FACTURA INCLUIDO EN EL PRECIO, SIN MINIMO DE COMPRA,CON POLITICA DE CANJE, OFERENTE Ximena Silva/9-57438894/xsilva@adnfarmaceutica.cl"/>
        <s v="JT FACTURAC. MÍN. $ 50.000+IVA STGO $ 75.000+IVA REGIONES. SI MONTO SUPERA 100 UTM, SE SUBIRÁN A $ 1 PARA OFERTAR.PLAZO ENTREGA STGO.24-48 hrs. REGIONES 48-72 hrs. (según cobertura O.L) FAVOR RESPETAR FACTOR EMPAQUE (para comp. inyectables y sueros)."/>
        <s v="AZITROMICINA LIOFILIZADO PARA SOLUCIÓN INYECTABLE 500MG FAM, FACTOR EMPAQUE X 10 FAM. EQUIVALENTE TERAPÉUTICO, Registro ISP F-27542/23, Vencimiento 07-2026 Stock disponible, entrega en 3 días - flete incluido. Datos de contacto en cotización adjunta."/>
        <s v="FACTURACION MINIMA $50.000+IVA PARA SANTIAGO Y $75.000+IVA PARA REGIONES, DESPACHO: STGO 24-48 HR Y REGIONES 48-72 HRS, FLETE ADICIONALSOLO SUEROS X VOLUMEN, UNIDAD MIN. COTIZADA, SE AJUSTARÁ A FACTOR DE EMPAQUE, REG.ISP, FACT.ELECTRONICA."/>
        <s v="ENDOXAN 1 G SOL. INY. X 50 ML, COSTO FLETE INCLUIDO, DESPACHO DE 24 A 48 HORAS, UNA VEZ ACEPTADA LA ORDEN DE COMPRA, SIN MÍNIMO DE FACTURACIÓN, VENCE SUPERIOR A 12 MESES (PV) pvalencia@adnfarmaceutica.cl"/>
        <s v="ENDOXAN 1 G SOL. INY. X 50 ML*ENTREGA DE 24 A 48 HRS, VENCE MAS DE 12 MESES, DESPACHO C/FACTURA, DESPACHO INCLUIDO EN EL PRECIO, SIN MINIMO DE COMPRA,CON POLITICA DE CANJE, OFERENTE Ximena Silva/9-57438894/xsilva@adnfarmaceutica.cl"/>
        <s v="AX3003800 - TEGRETAL JARABE 2% 100ML - F-4378/20 - CARBAMAZEPINA - - FRASCO 100 ML - EFICACIA DE 36 MESES ALMACENADO A NO MÁS DE 25ºC - LOTE ACTUAL VENCE 31/08/2026 DESPACHO INMEDIATO- SIN REGARGO POR FLETE- MINIMO DE DESPACHO 7 UF + IVA."/>
        <s v="Cotización_0020178566. Despacho en caja según factor de empaque. Vencimiento de material 04.07.2026."/>
        <s v="3548457 AMINOPLASMAL 15% 500 ML. 10 x caja"/>
        <s v="SE ADJUNTA COTIZACIÓN 544593 Y ANTECEDENTES PARA SER EVALUADOS: TIPO DE TRASLADO: TERRESTRE POR TRANSPORTE PDQ. - ENTREGA APROXIMADA: 15 DÍAS HÁBILES. - CONTAMOS CON STOCK PARA ENTREGA EN LOS PLAZOS INFORMADOS. - DURACIÓN DOS (2) AÑOS DESDE SU ELABORACIÓN"/>
        <s v="BACTEROL FTE.SUS.100ML.ENTREGA DE 24 A 48 HRS, VENCE MAS DE 12 MESES, DESPACHO C/FACTURA INCLUIDO EN EL PRECIO, SIN MINIMO DE COMPRA,CON POLITICA DE CANJE, OFERENTE Ximena Silva/9-57438894/xsilva@adnfarmaceutica.cl"/>
        <s v="PILOCARPINA 4 % SOL. OFT. X 10 ML, COSTO FLETE INCLUIDO, DESPACHO DE 24 A 48 HORAS, UNA VEZ ACEPTADA LA ORDEN DE COMPRA, SIN MÍNIMO DE FACTURACIÓN, VENCE SUPERIOR A 12 MESES (PV) pvalencia@adnfarmaceutica.cl (CM 11/07)"/>
        <s v="Nat100 Triple Fibra Libre de Soya Gluten y Lactosa Tarros de 900 grs. Sabor vainilla. De nuestro Laboratorio Boston Vencimiento 24 meses Incluye Flete"/>
        <s v="POLIDOCANOL 2% 2 ML ELAB RECETARIO MAGISTRAL INSUVAL S.A. VCTO 40 DÍAS DESDE ELAB SEGUN DS79. SE OFRECE RETIRO POR PARTE DE COMPRADOR EN DEPENDENCIAS DE INSUVAL. COORDINAR CON INFO@INSUVAL.CL, CVENEGAS@INSUVAL.CL Y ATENCIONCLIENTE@INSUVAL.CL"/>
        <s v="-ESKETAMINA MARCA KETA-S 50MG/ML 25FA 10 ML POR LABORATORIO CRISTALIA (PRESENTACION 25 FRASCO AMPOLLA POR CAJA) VENCIMIENTO SUPERIOR A 12 MESES DISTRIBUCION DESDE 23-12-2024"/>
        <s v="SE ADJUNTA FICHA TÉCNICA DE LA OFERTA, INCLUYE LA TOTALIDAD DE LA SOLICITUD. ENTREGA 3 A 5 DÍAS HÁBILES. ANTE DUDAS FAVOR CONTACTARME c.calderon@equiposmedicoschile.cl +56937621017 CATALINA CALDERÓ"/>
        <s v="881526 KOPODEX 100MG SOL ORAL X 120 ML PA LEVETIRACETAM 100 MG REG ISP F-16138/22 VENCE 15-05-2027. PRECIO INCL. FLETE, ENTREGA 48 HRS HAB., MIN. FACT. $100.000.- STOCK DISPONIBLE, CONTACTO: SHIRLEY.BELMAR@ABBOTT.COM"/>
        <s v="ADJUNTO COTIZACIÓN FORMAL, FICHA DE PRODUCTOS Y REGISTRO DE ISP. VENCIMIENTO MAYOR A 12 MESES. ENTREGA Y DISPONIBILIDAD INMEDIATA LUEGO DE EMITIDA LA OC. MÍNIMO DE DESPACHO $180.000. CONTACTO DE VENTAS JONATHAN GRANIFO. VENTAS3@ACGRUPOACONCAGUA.CL"/>
        <s v="ARISEON COMPRIMIDOS RECUBIERTOS 10 mg (AMBRISENTÁN), caja x 30, Registro ISP: F-27488, vencimiento 30-09-2027 Stock disponible, entrega en 3 días. Flete Incluido. Datos de contacto en cotización adjunta."/>
        <s v="66661104 TOL-12 ORAL SOLUCION ORAL 250 ML (CIANOCOBALAMINA+PIRIDOXINA+TIAMINA) LAB SAVAL ABR-2027 DROGUERÍA GLOBAL PHARMA SPA POSEE TRANSPORTE FDEX/TNT/STARKEN ENTREGA EN 12 DÍAS HÁBILES, MÍNIMO DE COMPRA $30.000 MÁS IVA. INFO AESCOBEDO@GLOBAL-PHARMA.CL"/>
        <s v="Alcohol Etílico Anhidro 99,5º"/>
        <s v="MIVACRON SOL.INY.10 mg5 ml (Mivacurio Cloruro).Reg.ISP:F-2658722. PROVEEDOR UNICO.Fabricante:ASPEN SA STERILE OPERATIONS PTY LTD , Sudráfica. Presentación:Caja x 5 amp.Producto Refrigerado.VCTO:10.2027. M.mínimo$100.000+IVA.Entrega 48 hr hábiles"/>
        <s v="Siccafluid gel en gotas lubricantes oculares Frasco gotario por 10 gr."/>
        <s v="ZYPREXA ZYDIS COM.10MG. CX14, COSTO FLETE INCLUIDO, DESPACHO DE 24 A 48 HORAS, UNA VEZ ACEPTADA LA ORDEN DE COMPRA, SIN MÍNIMO DE FACTURACIÓN, VENCE SUPERIOR A 12 MESES (PV) pvalencia@adnfarmaceutica.cl"/>
        <s v="ULTIVA POLVO LIOFILIZADO PARA SOLUCIÓN INYECTABLE 1 mg. (remifentanilo). PRODUCTO ORIGINAL. REG ISP: F-309/23. Presentación: Caja x 5 amp. Procedencia: Glaxosmithkline Manufacturing S.P.A., Italia. Vcto.: 11.2024. M.mínimo $100.000+IVA entrega 48 hr hábil"/>
        <s v="TIMOLOL COL 0,5% X 10 ML OPKO vence 7/24 despacho GRATIS 48 horas una vez aceptada la OC se adjunta ficha fono: 992657125"/>
        <s v="S-PT4154.PROBACILUS.(Lactobacillus Reuteri)VENCE: 18-04-2026. Resolucio´n Sanitaria: 2113290870 del 26/07/20. VALIDEZ OFERTA:30 DÍAS. MONTO MÍNIMO:$120.000+IVA. ENVÍO TERRESTRE.PLAZO DE ENTREGA:15 DIAS.SE PUEDE ACORDAR RETIRO AL CORREO:squezada@sanitas.cl"/>
        <s v="S-PT4154.PROBACILUS.POMO 5 ML.(Lactobacillus Reuteri)VENCE: 10-06-2026. Resolucio´n Sanitaria:2113290870 del 26/07/2021.VALIDEZ OFERTA:30 DÍAS.MONTO MÍNIMO:$120.000+IVA.PLAZO ENTREGA:10 DÍAS HÁBILES.PARA ACORDAR RETIRO CARGO HOSPITAL DE SER NECESESARIO"/>
        <s v="Dichlorexan Solución Acuosa 2% 500cc. Marca DIFEM, procedencia nacional. Sin alcohol, para antisepsia de piel. Registro ISP. Estudio microb según resolución 89. Con inserto dosificador. Cajas x 20 unidades. Vencimiento 25-01-2026. Despacho 12-15 días."/>
        <s v="Cotización 20168464 , despacho en cajas cerradas, según factor de empaque. Despacho mínimo $200.000.- Oferta incluye despacho."/>
        <s v="Cotización_0020172712, despacho en cajas cerradas, según factor de empaque. Despacho mínimo $200.000.-"/>
        <s v="10000000068114 ALENYS Susp Nebulización Nasal 27,5 mcg x 120 dosis Fluticasona Furoato VENCIMIENTO:Mayor a 12 Meses - ISP:F-16784/23 - Con cert. GMP. Despacho 3 dias habiles. Monto minimo de despacho $250.000 netos."/>
        <s v="SE ADJUNTA COTIZACIÓN 495755. PLAZO ENTREGA 5 DÍAS HÁBILES FECHA RECEPCIÓN OC."/>
        <s v="AX1013400-TETMODIS 25 MG-F-18504 / 21-TETRABENAZINA-FRASCO 112 COMPRIMIDOS-ALMACENADO A NO MÁS DE 25°C PROTEGIDO DE LA LUZ-SE ADJUNTA DOCUMENTACIÓN TÉCNICA, CERTIFICADO DE FARMACOVIGILANCIA Y CONDICIONES DE VENTA. VENCE:JUN 2026"/>
        <s v="Cotización Hospitalia. Factor de empaque cartón x 30 unidades. Código BRRI004 Se adjunta ficha técnica para su evaluación. Favor tomar en consideración factor de empaque y cotización adjunta. Despacho 15 días - solo mié - Favor considerar Venc: Sept/2026"/>
        <s v="GLICERINA LIQUIDA USP"/>
        <s v="Detalles en cotización adjunta, OC mínima $100.000, despacho sin costo extra en 48- 72 horas una vez aceptada la OC, correo qa.farmavidda@gmail.com CONSULTAS: +56946283996 Tamara Acuña"/>
        <s v="VITAMINA ACD / 30ML SOLUCION ORAL. LABORATORIO CHILE. VITAMINA A-C-D. REG ISP F-21649. VCTO 11-2025 Entrega en 48 horas una vez aceptada la orden de compra. Monto mínimo de compra 50.000 neto Sin costo por despacho. Vigencia de cotización 60 días."/>
        <s v="GELCLAIR® GEL ORAL CONCENTRADO PARA LA RESTAURACIÓN DE MUCOSA ORAL. COMPOSICIÓN: HIALURONATO DE SODIO, ACIDO GLICIRETÍNICO, POLIVINIL PIRROLIDONA (PVP). CJ X 3 SACHET. CERTIFICACIÓN EMA, FABRICADO BAJO NORMA ISO 13485:2016. PERIODO DE EFICACIA 36 MESES."/>
        <s v="FACTURACIÓN MÍNIMA $50.000+IVA PARA SANTIAGO Y $75.000+IVA PARA REGIONES,DESPACHO:STGO 24-48 HR Y REGIONES 48-72 HR, FLETE ADICIONAL SOLO SUEROS X VOLUMEN,UNIDAD MIN. COTIZADA, SE AJUSTARÁ A FACTOR DE EMPAQUE, REG.ISP, FACTURA ELECTRÓNICA."/>
        <s v="Dichlorexan Solución Acuosa 2% 500cc. Marca DIFEM, procedencia nacional. Sin alcohol, para antisepsia de piel. Registro ISP. Estudio microb según resolución 89. Con inserto dosificador. Vig 18 meses. Cajas x 20 unidades. vencimiento 05/25."/>
        <s v="Se adjunta cotización solicitada en base a stock disponible para despacho en 5-7 días hábiles, una vez aceptada la OC, monto mínimo de despacho $150.000 netos y servicio de post venta. Vanessa Sandoval Correo: licitaciones@pharmavisan.cl Fono:223039414."/>
        <s v="Se adjunta cotización solicitada en base a stock disponible para despacho en 5-7 días hábiles, una vez aceptada la OC, monto mínimo de despacho $150.000 netos y servicio de post venta. Claudia Pérez Correo: licitaciones@pharmavisan.cl Fono:223039416"/>
        <s v="BIKTARVY, BICTEGRAVIR 50 mg-EMTRICITABINA 200mg-TENOFOVIR ALAFENAMIDA 25 mg contiene 30 comprimidos recubiertos. REG ISP: F-24969-19 Plazo entrega: 5 días hábiles desde aceptada la OC, sin canje, sin monto mínimo despacho. Vencimiento:30-12-2025."/>
        <s v="JT-FACTURACION MINIMA $50.000+IVA PARA SANTIAGO Y $75.000+IVA PARA REGIONES, DESPACHO: STGO 24-48 HR Y REGIONES 48-72 HRS, FLETE ADICIONALSOLO SUEROS X VOLUMEN, UNIDAD MIN. COTIZADA, SE AJUSTARÁ A FACTOR DE EMPAQUE, REG.ISP, FACT.ELECTRONICA."/>
        <s v="MONTO MÍNIMO DE FACTURACION $50.000+IVA PARA SANTIAGO Y $ 75.000+IVA PARA REGIONES. DESPACHO: DE 24 HORAS, CONTAMOS CON FACTURA ELECTRÓNICA.TODOS NUESTROS PRODUCTOS CUENTAN CON REGISTRO ISP. FLETE SIN RECARGO.GARANTIZAMOS SERVICIO DE POST-VENTA."/>
        <s v="Oferta de Biogen Chile SpA por Fampridina 10 mg. Precio neto por comprimido: 3.507 CLP Sin IVA. Unidad mínima de despacho corresponde a 1 caja con 56 comprimidos. Incluye despacho. Registro ISP F-19932/23 Vencimiento 31-03-2026"/>
        <s v="ZYPREXA ZYDIS COM. 5MG. CX14, COSTO FLETE INCLUIDO, DESPACHO DE 24 A 48 HORAS, UNA VEZ ACEPTADA LA ORDEN DE COMPRA, SIN MÍNIMO DE FACTURACIÓN, VENCE SUPERIOR A 12 MESES (PV) pvalencia@adnfarmaceutica.cl"/>
        <s v="COTIZACION N° 20168618 Despacho en cajas cerradas, según factor de empaque. | fecha de vencimiento 09.2024 y no contempla carta de canje | precio incluye traslado"/>
        <s v="SE ADJUNTA COTIZACION Entrega en 48 horas una vez aceptada la orden de compra. Monto minimo de compra 50.000 neto. Afecto a políticas de canje. Sin costo por despacho. Vigencia de cotización 60 días"/>
        <s v="Jabón Neutro Balsámico Sin Aroma 800cc. Compatible con dispensador mural BW. Marca DIFEM, procedencia nacional. Jabón líquido para lavado de manos frecuente. Cajas de 12 unid. vencimiento 11/26, Despacho 10-15 días. khijerra@difem.cl. Stock inmediato."/>
        <s v="UNASYN IM/IV INY 0.5/1.0MG AMPICILINA + SULBACTAM DE PFIZER. Valor ofertado corresponde a 1 frasco ampolla. Envase de venta: caja x 1 frasco Ampolla. REGISTRO ISP N° F-4436-25. Vencimiento 30-04-2027.Monto mínimo de despacho $100.000"/>
        <s v="ACRIPTEGA: TENOFOVIR/LAMIVUDINA/DOLUTEGRAVIR 300/300/50 MG CM Stock disponible con vencimiento julio 2025"/>
        <s v="GELCAIN 2% GEL BUCAL X 30 G, COSTO FLETE INCLUIDO, DESPACHO DE 24 A 48 HORAS, UNA VEZ ACEPTADA LA ORDEN DE COMPRA, SIN MÍNIMO DE FACTURACIÓN, VENCE SUPERIOR A 12 MESES (PV) pvalencia@adnfarmaceutica.cl"/>
        <s v="Cotización adjunta. vencimiento superior a 14meses. Envío gratuito en 24h. Contacto: Felipe Palavecinos +56962245657 comercialmurta@gmail.com. Política de canje disponible en todos nuestros productos"/>
        <s v="ZYPREXA ZYDIS COMPRIMIDOS BUCODISPERSABLES 5 mg (Olanzapina). Presentación caja x 14 comprimidos bucodispersables. Registro ISP F-11820-22. Valor ofertado corresponde a 1 comp bucodispersable. Monto mínimo para despacho $150.000 + IVA. Vcto 25-jul.-2026"/>
        <s v="SE ADJUNTA COTIZACION Entrega en 48 horas una vez aceptada la orden de compra. Monto mínimo de compra 50.000 neto Sin costo por despacho. Vigencia de cotización 60 días."/>
        <s v="Formalina tamponada litro"/>
        <s v="Tiras reactivas de cuerpos cetónicos FreeStyle Optium despacho en 5 dias, flete incluido contacto Antonio ramos 950002600 intermedicalimitada@gmail.com lorena contre-ras 950003040 (wasap) oficina : 413837470 -73-74-75 despacho Nelson Simancas 98853 5495"/>
        <s v="HOF0136 LEVOCETIRIZINA DICLORHIDRATO JBE 2,5mg/5mL. FCO X 100 mL. REG. ISP F-25359/20. FAB: LABORATORIOS PORTUGAL S.R.L, PERÚ. VENC: 01-10-2025. STOCK INMEDIATO. DESP: 2 DÍAS HÁB. SIN COSTO. MONTO MÍN. FACT. 100.000 NETOS. SERVICIO POSTVENTA"/>
        <s v="Lo cotizado corresponde a Dekas Plus Softgel frasco 60 cápsulas blandas, valor $108.780 más IVA cada frasco, lote disponible con vencimiento 01/2027. R.E. 1482 15/04/2019. Por compras 5 o más frascos no se agrega cargo por flete. Stock acotado."/>
        <s v="FACTURACION MINIMA $50.000+IVA PARA SANTIAGO Y $75.000+IVA PARA REGIONES,DESPACHO:STGO 24-48 HR Y REGIONES 48-72 HR, FLETE ADICIONALSOLO SUEROS X VOLUMEN,UNIDAD MIN. COTIZADA, SE AJUSTARÁ A FACTOR DE EMPAQUE,REG.ISP,FACT.ELECTRONICA."/>
        <s v="253807 DOMPERIDONA DOCIVIN 10 MG/ML SUSP ORAL GOTAS 15 ML LAB MINTLAB 31-08-2025 DROGUERÍA GLOBAL PHARMA SPA POSEE TRANSPORTE FDEX/TNT/STARKEN ENTREGA EN 12 DÍAS HÁBILES, MÍNIMO DE COMPRA DE $30.000 MÁS IVA. INFO AESCOBEDO@GLOBAL-PHARMA.CL"/>
        <s v="001-070-00450 VIROPIL 52,62 / 300 / 300 MG X 30 COMPRIMIDOS RECUBIERTOS VIH DOLUTEGRAVIR / LAMIVUDINA / TENOFOVIR 30 COMPRIMIDOS RECUBIERTOS F-26217/21 VENCE: 31/08/2025 MONTO MINIMO DE FACTURACION $ 100.000 PRODUCTO CONS TOCK DISPONIBLE"/>
        <s v="ACRIPTEGA: TENOFOVIR/LAMIVUDINA/DOLUTEGRAVIR 300/300/50 MG CM - Envase x 30 CMP Stock disponible - vencimiento mayo 2026 Despacho incluído - 3 días hábiles despues de recibida la OC"/>
        <s v="Clonidina laboratorio TEVA USA caja por 100 tabletas vencimiento Junio 2026( articulo 21)"/>
        <s v="PAUSE-500 COMPRIMIDOS RECUBIERTOS 500 mg (ÁCIDO TRANEXÁMICO), caja x20, Bioequivalente, Registro ISP: F-26519/21. Incluye despacho en Institución. Stock disponible, entrega en 3 días. Datos de contacto en cotización adjunta."/>
        <s v="PAUSE-500 COMPRIMIDOS RECUBIERTOS 500 mg (ÁCIDO TRANEXÁMICO), caja x20, Bioequivalente, Registro ISP: F-26519/21. Vencimiento: 30-04-2025. Stock disponible, entrega en 3 días, datos de contacto en cotizacion adjunta."/>
        <s v="2402073 ALCOHOL 70% SOLUCIÓN TÓPICA DifemPharma 250mL, 36 unidades por caja. Vencimiento 24 meses Despacho 10-15 días. Contacto Daniella Riffo driffo@difem.cl 968447779"/>
        <s v="A_BGM14 FREESTYLE OPTIUM B-KETONES NEO CAJA X 10 CINTAS, PRECIO OFERTADO X CINTA, PRECIO INCLUYE FLETE. DESPACHO 72 HORAS AEREO. DISPONIBILIDAD INMEDIATA. FECHA VENCIMIENTO MAYOR A 12 MESES."/>
        <s v="TRAMADOL 100 MG/ML GOTAS FCO. 10 ML VCTO 06-2026 ENVIO INCLUIDO 48 HORAS/ 56989247629 VENTAS@ECOMCH.CL / MINIMO DE FACTURACION 100.000 NETO"/>
        <s v="Despacho en 48-72 horas, Oc minima 100.000, despacho sin costo extra, contacto Qafarma.spa@gmail.com Datos de pago: Rut 78.045.809-7 cuenta corriente n° 96176791 Banco Santander, correo qa.farmavidda@gmail.com"/>
        <s v="236795 OSMETIL 36 - METILFENIDATO 36 MG. CADA FRASCO CONTIENE 30 COMPRIMIDOS DE LIBERACION OSMOTICA PROLONGADAVENC 30-04-2027 MINMO FACT Y DESP $ 150.000 NETOENTREGA 3 DIAS HAB."/>
        <s v="TRAMADOL GTS.100MG/ML.10M, COSTO FLETE INCLUIDO, DESPACHO DE 24 A 48 HORAS, UNA VEZ ACEPTADA LA ORDEN DE COMPRA, SIN MÍNIMO DE FACTURACIÓN, VENCE SUPERIOR A 12 MESES (PV) pvalencia@adnfarmaceutica.cl"/>
        <s v="236794 OSMETIL 27 - METILFENIDATO 27 MG. CADA FRASCO CONTIENE 30 COMPRIMIDOS DE LIBERACION OSMOTICA PROLONGADA VENC 31-MAR.-2027 ENTREGA 6 DIAS HAB MINIMO FACT Y DESP $ 150.000 NETO"/>
        <s v="INFLADER CAP.20MG.CX30*ENTREGA DE 24 A 48 HRS, VENCE MAS DE 12 MESES, DESPACHO C/FACTURA INCLUIDO EN EL PRECIO, SIN MINIMO DE COMPRA,CON POLITICA DE CANJE, OFERENTE Ximena Silva/9-57438894/xsilva@adnfarmaceutica.cl"/>
        <s v="Glucosa Solución Inyectable 50% - 100 ampolla Plástico - 20ml - Halex Istar- Vencimiento mayor a 12 meses- Importación por art 99 del producto. Fecha estimada de entrega segunda semana de Agosto de 2024."/>
        <s v="236795 OSMETIL 36 mg Metilfenidato 36 mg Cada frasco contiene 30 comprimidos recubiertos de liberaci?n osm?tica prolongada. Entrega 3 d?as h?biles. Monto m?nimo de despacho y facturaci?n $100.000 Neto (Vence 31-jul.-2025"/>
        <s v="236794 OSMETIL 27 mg Metilfenidato 27 mg Cada frasco contiene 30 comprimidos recubiertos de liberaci?n osm?tica prolongada. Entrega 3 d?as h?biles. Monto m?nimo de despacho yfacturaci?n $100.000 Neto. (vence 30-nov.-2025"/>
        <s v="Spironolactone 100mg (Espironolactona) frasco de 100 tabletas, plazo de entrega 13 a 20 días hábiles, una vez aprobados los documentos. Servicio importación medicamentos para uso personal, Art. N°24 del DTO, N°3 del MINSAL. ver documentos adjuntos."/>
        <s v="CINACALCET COMPRIMIDOS RECUBIERTOS 60 mg, Caja X 28 CM, Bioequivalente, Registro ISP F-27631, vencimiento 28-02-2027 Stock disponible, entrega en 3 días, despacho incluido. Datos de contacto en cotización adjunta."/>
        <s v="CINACALCET COMPRIMIDOS RECUBIERTOS 60 mg, Caja X 28 CM, Bioequivalente, Registro ISP F-27631, vencimiento 28-02-2027 Stock disponible, entrega en 3 días. Datos de contacto en cotización adjunta."/>
        <s v="236793 OSMETIL 18 mg Metilfenidato 18 mg. Cada frasco contiene 30 comprimidos recubiertos de liberaci?n osm?tica prolongada. Entrega 3 d?as h?biles. Monto m?nimo de despacho y facturaci?n $100.000 Neto (vence 31-jul.-2025"/>
        <s v="Amiloride 5mg (Amilorida) frasco de 100 tabletas, plazo de entrega 13 a 20 días hábiles, una vez aprobados los documentos. Servicio importación medicamentos para uso personal, Art. N°24 del DTO, N°3 del MINSAL. ver documentos adjuntos."/>
        <s v="Cotización_0020178950 despacho en cajas cerradas, según factor de empaque indicado en cotización. Despacho mínimo $200.000.-"/>
        <s v="COTIZACION N° 20162067 Despacho en cajas cerradas, según factor de empaque. | precio considera traslado"/>
        <s v="INSPRA COMPRIMIDOS RECUBIERTOS 50 mg (EPLERENONA). REG. ISP: F-22736/21. Presentación: Caja x 30 comprimidos. Procedente: PFIZER SERVICE COMPANY BVBA. Vcto: 05.2027 Monto mínimo $100.000+IVA Entrega 48 hrs hábiles"/>
        <s v="FACTURACION MINIMA $50.000+IVA PARA SANTIAGO Y $75.000+IVA PARA REGIONES, DESPACHO: STGO 24-48 HR Y REGIONES 48-72 HR, FLETE ADICIONALSOLO SUEROS X VOLUMEN, UNIDAD MIN. COTIZADA, SE AJUSTARÁ A FACTOR DE EMPAQUE, REG.ISP, FACT.ELECTRONICA."/>
        <s v="Se adjunta cotizacion formal. Se adjunta Ficha Tecnica para su evaluacion. Monto minimo de facturacion $50.000. Despacho en 24 a 72 hrs, sin costo. Zonas Extremas (Sujeto a Evaluacion con Operador Logistico). Contacto: sujeidys.rugeles@munnich.c"/>
        <s v="PRECIO NETO, NO INCLUYE IVA. MONTO MINIMO DE FACTURACION $100.000 NETO. FLETE INCLUIDO. ENTREGA EN 48 HORAS DESDE EMITIDA LA O/C. Laboratorio Synthon Chile Ltda. Inscrito y habilitado en CHILEPROVEEDORES, Todos nuestros Productos cuentan con registro ISP,"/>
        <s v="Estimados se adjunta cotización, contamos con disponibilidad de producto, vencimiento 12 meses, se adjunta ficha técnica, despacho 72hrs, operador logístico Novofarma trabaja con dos transportistas Newtrans y Chibra."/>
        <s v="001-000-01230 DIONDEL COMPRIMIDOS 100 mg x 50 Comp. FLECAINIDA Registro ISP F-18546-21 Proc. LAB. ROEMMERS S.A.-URUGUAY"/>
        <s v="CADENCE COMPRIMIDOS 100 mg (FLECAINIDA ACETATO), Bioequivalente, caja x50, Registro ISP: F-26177/21. Vencimiento: 31-05-2026. Stock disponible, entrega en 3 días. Datos de contacto en cotización adjunta."/>
        <s v="Se adjunta cotizacion formal. Se adjunta Ficha Tecnica para su evaluacion. Monto minimo de facturacion $50.000. Despacho en 24 a 72 hrs, sin costo. Zonas Extremas ( Sujeto a Evaluacion con Operador Logistico) Contacto: paloma.johnson@munnich.cl"/>
        <s v="Despacho costo 0, en 48 horas, contacto +56952396412, QA.farmavidda@gmail.com, PISV"/>
        <s v="001-000-80618 OLIVIN DB 5 MG. X 30 COMP (BE) OLANZAPINA F-25360/25 LABORATORIOS LESVI S.L.-ESPAÑA EQUIV TERAPEUTICO VENCE: 30711/2026 MONTO MINIMO DE FACTURACION $ 100.000"/>
        <s v="CADENCE COMPRIMIDOS 100 mg (FLECAINIDA ACETATO), Bioequivalente, caja x50, Registro ISP: F-26177/21. Vencimiento: 30-04-2027. Stock disponible, entrega en 3 días - flete incluido. Datos de contacto en cotización adjunta."/>
        <s v="COTIZACION N° 20160500 Despacho en cajas cerradas, según factor de empaque."/>
        <s v="Clonidine 0,1mg (Clonidina HCl) frasco de 100 tabletas, plazo de entrega 14 a 26 días hábiles, una vez aprobados los documentos por Almedis. Servicio importación medicamentos para uso personal, según Art. N°24 del DTO, N°3 del MINSAL. ver condiciones adj."/>
        <s v="NEUROBIONTA ADV.COMREC. CX60, COSTO FLETE INCLUIDO, DESPACHO DE 24 A 48 HORAS, UNA VEZ ACEPTADA LA ORDEN DE COMPRA, SIN MÍNIMO DE FACTURACIÓN, VENCE SUPERIOR A 12 MESES (PV) pvalencia@adnfarmaceutica.cl (P 24/07)"/>
        <s v="Potassium Chloride 600 mg LP (8 Meq) (Cloruro de Potasio) frasco 100 capsulas. Plazo de entrega 15 a 32 días hábiles una vez aprobados los documentos. Servicio importación medicamentos para uso personal, Art. N°24 del DTO, N°3 del MINSAL. ver doc adjuntos"/>
        <s v="COTIZACIÓN LABORATORIOS RECALCINE, S.A FLETE INCLUIDO. DESPACHO EN 2 DÍAS / 48 HORAS. MONTO MÍNIMO DE FACTURACIÓN: 100.000. SE COTIZAN VALORES NETOS."/>
        <s v="Pargeverina Clorhidrato 5 mg 1 ml, solución inyectable, ampolla, estuche x 5 unid. Registro F-21075 19.Fecha de vencimiento: 30-10-2024, Contacto aparra@biosano.cl + 56 962466116 Monto mínimo para despacho $200.000, tiempo de despacho 10 días hábiles"/>
        <s v="Productos de Recetario Magistral, Venicimiento 40 dias segun DS79. Despacho en 48 a 72 hrs. Monto de Facturacion minima para despacho $40.000 + iva"/>
        <s v="880955 PRIMAQUIN 1 MG CAJA X 30 COMPRIMIDOS PA ESTRADIOL 1 MG REG ISP F-11122/21 VENCE 16-07-2029 PLAZO ENTREGA 72 HORAS PRECIO COTIZADO ES POR COMPRIMIDO, TRANSPORTE TERRESTRE"/>
        <s v="NEOETHICALS CHILE SPA. Entrega en 2-3 días hábiles una vez aceptada la orden de compra. Sin costo por despacho. Adjunto cotización detallada. Sin Pedido mínimo. Se adjunta ISP y anexos técnicos. Validez de oferta 60 días."/>
        <s v="Cotización_0020162667, despacho en cajas cerradas, según factor de empaque. Despacho mínimo $200.000.- Nota. Producto sujeto a disponibilidad. Oferta no incluye traslado."/>
        <s v="880955 PRIMAQUIN 1MG CAJA X 30 COMPRIMIDOS PA ESTRADIOL 1 MG REG ISP F-11122/21 VENCE 16-07-2029 FLETE INCLUIDO DESPACHO EN 2 DÍAS/48 HRS MÍN DE FACTURACIÓN 100.000 SE COTIZAN VALORES NETOS STOCK PARA DESPACHO INMEDIATO"/>
        <s v="Se adjunta cotización solicitada en base a stock disponible para despacho inmediato, una vez aceptada la OC, monto mínimo de despacho $150.000 netos y servicio de post venta. Valerie Aguilera Correo: licitaciones@pharmavisan.cl Fono: 223039417"/>
        <s v="Se adjunta cotización con detalle de lo cotizado, tiempo de entrega días hábiles, despacho incluido"/>
        <s v="SOMIT COMPRIMIDOS RECUBIERTOS 10 mg ZOLPIDEM HEMITARTRATO, Estuche con 30 comprimidos. Reg ISP:F-24222. Valor indicado por comprimido. Plazo de entrega 3 dias habiles, vencimiento ofertado 30-03-2026, Sin canje."/>
        <s v="880955 PRIMAQUIN 1 MG CAJA X 30 COMPRIMIDOS PA ESTRADIOL 1 MG REG ISP F-11122/21 VENCE 16-07-2029 PLAZO ENTREGA 48 HORAS PRECIO COTIZADO ES POR COMPRIMIDO"/>
        <s v="Estimados adjunto cotización de pilas para audífonos 13,675,312, plazo de entrega 10 días hábiles, no existe ficha técnica de las pilas , indicar que son pilas ZINC -AIR"/>
        <s v="COTIZACION N° 20162063 Despacho en cajas cerradas, según factor de empaque. | Precio considera traslado"/>
        <s v="CL40073 LEVETIRACETAM 1000 mg COMPRIMIDOS REC. ESTUCHE 3 X 10 ALU-PVC REG N°F-22677/21 VCTO 31/08/27. PLAZO DE ENTREGA: 48 HRS. VALOR INDICADO INCLUYE FLETE. MONTO MIN. DESPACHO $75.000. CONTACTO: jose.salas@sevenpharma.net"/>
        <s v="EN ADJUNTO COTIZACION Y DOCUMENTACION TECNICA."/>
        <s v="Oferta 36 Frasco Cintas de Glicemia CareSens N Strip 50T Bonifica 1 Kit Glucómetros CareSens N Voice Kit Bonifica 36 Caja Lancetas CareSens Lancet 50T 30G, despacho 7 días, se adjunta Cotización y Ficha Técnica, despacho incluido e inmediato."/>
        <s v="C-PT4734. TILDIEM 60 MG X 60 COMP.(Equivalente Terapéutico). VENCE: 31-08-2026.N° REG. ISP:F-3407/20. VALIDEZ OFERTA:30 DÍAS. MONTO MÍNIMO: $120.000+IVA. PLAZO DE ENTREGA:15 DÍAS HÁBILES.DE SER NECESARIO, SE PUEDE ACORDAR RETIRO CON CARGO AL HOSPITAL."/>
        <s v="CALCIMAX® D3 400 UI, Calcio Citrato 315mg Vit D3 400UI, presentación x 60 comprimidos. Fabrica Gador S.A Argentina, Reg ISP: F-15657-21, Entrega 3 Días habiles, aplica horario corte, Vcto: 30.04.2026. Monto mínimo Despacho. $ 100.000."/>
        <s v="FACTURACION MINIMA $50.000+IVA PARA SANTIAGO Y $75.000+IVA PARA REGIONES, DESPACHO: STGO 24-48 HR Y REGIONES 72 HR, UNIDAD MIN. COTIZADA, SE AJUSTARÁ A FACTOR DE EMPAQUE, REG.ISP, FACT.ELECTRONICA. STOCK DISPONIBLE PARA ENTREGA INMEDIATA."/>
        <s v="199421 PRIMIDONA 250 MG CJX50 COMP LAB CHILE 31-12-2025 DROGUERÍA GLOBAL PHARMA SPA POSEE TRANSPORTE FDEX/TNT/STARKEN ENTREGA EN 14 DÍAS HÁBILES, MÍNIMO DE COMPRA $30.000 MÁS IVA. INFO AESCOBEDO@GLOBAL-PHARMA.CL"/>
        <s v="DICLOFENACO SUP.12,5MG.CX5*ENTREGA DE 24 A 48 HORAS, VENCE SUPERIOR A 12 MESES, DESPACHO INCLUIDO EN EL PRECIO, SIN MINIMO DE COMPRA, OFERENTE Ximena Silva/9-57438894/xsilva@adnfarmaceutica.cl"/>
        <s v="CALCIMAX® D3 400 UI, Calcio Citrato 315mg Vit D3 400UI, presentación x 30 comprimidos. Fabrica Gador S.A Argentina, Reg ISP: F-15657-21, Entrega 3 Días habiles, aplica horario corte, Vcto: 30.03.2025, Sin canje y/o devolución, Monto mínimo D. 100.000."/>
        <s v="Se adjunta Ficha tecnica para su evaluacion. Monto m?nimo de compra $50.000. Despacho en Santiago 24 hrs . Regiones hasta 72 hrs (sin costo)"/>
        <s v="FACTURACION MINIMA $50.000+IVA PARA SANTIAGO Y $75.000+IVA PARA REGIONES,DESPACHO:STGO 24-48 HR Y REGIONES 72 HR, FLETE ADICIONALSOLO SUEROS X VOLUMEN,UNIDAD MIN. COTIZADA, SE AJUSTARÁ A FACTOR DE EMPAQUE,REG.ISP,FACT.ELECTRONICA."/>
        <s v="FACTURACION MINIMA STGO $ 50.000+IVA (DESPACHO 24 HRS.) REGIONES $ 75,000 + IVA (DESPACHO 48-72 HRS.) FLETE ADICIONAL SUEROS X VOLUMEN Y PESO.PDCTOS NO DISPONIBLES SE SUBIRAN A $ 1.FACT.ELECTRONICA SERV.POST-VENTA"/>
        <s v="Polivitaminico en capsulas. Estuche x 100 capsulas. Vigencia 18 meses. Se adjunta ficha tecnica para su aprobacion. Despacho incluido de 3 a 5 dias habiles, minimo 100.000 + iva."/>
        <s v="SE ADJUNTA COTIZACION Entrega en 48 horas una vez aceptada la orden de compra. Monto minimo de compra 50.000 neto. Afecto a políticas de canje. Sin costo por despacho. Vigencia de cotización 60 días. BECRUX-ETHON"/>
        <s v="ATORVASTATINA COMP REC 40MG-BE-CAJA X 30 COMP REC,REG ISP:F-23378 FAB x ALKEM LABS LTD, INDIA VENCE:08/25 CERTIF.GMP.EMA.ALEMANA.PRECIO NETO x COMP FLETE SIN CARGO SIN M?NIMO FACTURACI?N.ENTREGA EN 4 DIA.SE ADJUNTA CANJE"/>
        <s v="ATORVASTATINA COMPRIMIDOS RECUBIERTOS 40MG - BE, CAJA X 30 COMP.REC. REGISTRO ISP: F-23378 FABRICADO POR ALKEM LABORATORIES LTD, INDIA VENCIMIENTO: OCTUBRE 2026 GMP EMA AGENCIA ALEMANA PRECIO NETO COTIZADO POR COMPRIMIDO FLETE INCL. 48 HRS.H?B.M?X."/>
        <s v="ATENOLOL BE.COM.100MG CX20*ENTREGA DE 24 A 48 HRS, VENCE MAS DE 12 MESES, DESPACHO INCLUIDO EN EL PRECIO, SIN MINIMO DE COMPRA,CON POLITICA DE CANJE, OFERENTE Ximena Silva/9-57438894/xsilva@adnfarmaceutica.cl"/>
        <s v="Se adjunta cotización detallada, Contacto F. 225104550, contacto@scmpharma.cl, Despacho sin costo, Envio 5 dias- monto mínimo de despacho $ 150.000.- Cotización valida por 15 días."/>
        <s v="AMLODIPINO COM 10 MG X 30 -LAB ASCEND - VENCE:10-2026 - DESPACHO INCLUIDO - PARA MAYOR INFORMACIÓN CONTACTAR A ISABEL AZUAJE ÁVILA - IAZUAJE@ETHOSCHILE.CL"/>
        <s v="CELECOXIB 200MG X 500 CAPS VENC ABRIL/2026 REG ISP F-27392 SIN COSTO DE ENVIO DESPACHO 24 HORAS UNA VEZ ACEPTADA LA OC REP VENTA PAULA QUINTNA +56 9 6520 0405"/>
        <s v="JOR. FACTURACION MINIMA $50.000+IVA PARA SANTIAGO Y $75.000+IVA PARA REGIONES, DESPACHO: STGO 24-48 HR REGIONES 72 HR, UNIDAD MIN. COTIZADA, SE AJUSTARÁ A FACTOR DE EMPAQUE, REG.ISP, FACT.ELECTRONICA. STOCK DISPONIBLE PARA ENTREGA INMEDIATA."/>
        <s v="(BE)CARVEDILOL 6,25 MG X 30 COMP.REC.. ETHON. CARVEDILOL. REG ISP F-23310. VCTO 01/12/2025 Entrega en 48 horas una vez aceptada la orden de compra. Monto mínimo de compra 50.000 neto Sin costo por despacho. Vigencia de cotización 60 días."/>
        <s v="PROPRANOLOL.BE.COM.10MG.CX20*ENTREGA DE 24 A 48 HORAS, VENCE SUPERIOR A 12 MESES, DESPACHO INCLUIDO EN EL PRECIO, SIN MINIMO DE COMPRA, OFERENTE Ximena Silva/9-57438894/xsilva@adnfarmaceutica.cl"/>
        <s v="PROPRANOLOL.BE.COM.10MG.cx20*ENTREGA DE 24 A 48 HRS, VENCE MAS DE 12 MESES, DESPACHO C/FACTURA, DESPACHO INCLUIDO EN EL PRECIO, SIN MINIMO DE COMPRA,CON POLITICA DE CANJE, OFERENTE Ximena Silva/9-57438894/xsilva@adnfarmaceutica.cl"/>
        <s v="(BE)FLUOXETINA 20MG X 20 COMP.. LABORATORIO CHILE. FLUOXETINA. REG ISP F-8411/21. VCTO 09-2026 Entrega máximo 15 dias una vez aceptada la orden de compra. Monto mínimo de compra 100.000 neto Sin costo por despacho. Vigencia de cotización 60 días."/>
        <s v="SE ADJUNTA COTIZACION Entrega en 48 horas una vez aceptada la orden de compra. Monto mínimo de compra 50.000 neto Sin costo por despacho. Vigencia de cotización 60 días"/>
        <s v="SE ADJUNTA COTIZACION Entrega en 24 horas una vez aceptada la orden de compra. Sin mínimo de compra. Afecto a políticas de canje. Sin costo por despacho. Vigencia de cotización 60 días.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edicamentos farmacia" cacheId="0" dataCaption="" rowGrandTotals="0" compact="0" compactData="0">
  <location ref="A3:D44" firstHeaderRow="0" firstDataRow="2" firstDataCol="0" rowPageCount="1" colPageCount="1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x="11"/>
        <item x="12"/>
        <item h="1" x="13"/>
        <item h="1" x="14"/>
        <item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x="27"/>
        <item x="28"/>
        <item x="29"/>
        <item h="1" x="30"/>
        <item h="1" x="31"/>
        <item h="1" x="32"/>
        <item h="1" x="33"/>
        <item h="1" x="34"/>
        <item x="35"/>
        <item h="1" x="36"/>
        <item h="1" x="37"/>
        <item h="1" x="38"/>
        <item h="1" x="39"/>
        <item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x="53"/>
        <item h="1" x="54"/>
        <item h="1" x="55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x="78"/>
        <item x="79"/>
        <item h="1" x="80"/>
        <item h="1" x="81"/>
        <item h="1" x="82"/>
        <item x="83"/>
        <item h="1" x="84"/>
        <item h="1" x="85"/>
        <item h="1" x="86"/>
        <item x="87"/>
        <item h="1" x="88"/>
        <item h="1" x="89"/>
        <item h="1" x="90"/>
        <item h="1" x="91"/>
        <item h="1" x="92"/>
        <item x="93"/>
        <item x="94"/>
        <item h="1"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x="105"/>
        <item h="1" x="106"/>
        <item h="1" x="107"/>
        <item x="108"/>
        <item h="1" x="109"/>
        <item h="1" x="110"/>
        <item h="1" x="111"/>
        <item x="112"/>
        <item h="1" x="113"/>
        <item x="114"/>
        <item h="1" x="115"/>
        <item h="1" x="116"/>
        <item h="1" x="117"/>
        <item h="1" x="118"/>
        <item x="119"/>
        <item h="1" x="120"/>
        <item h="1" x="121"/>
        <item h="1" x="122"/>
        <item h="1" x="123"/>
        <item x="124"/>
        <item x="125"/>
        <item h="1" x="126"/>
        <item x="127"/>
        <item h="1" x="128"/>
        <item h="1" x="129"/>
        <item x="130"/>
        <item x="131"/>
        <item x="132"/>
        <item x="133"/>
        <item x="134"/>
        <item h="1" x="135"/>
        <item h="1" x="136"/>
        <item h="1" x="137"/>
        <item x="138"/>
        <item x="139"/>
        <item h="1" x="140"/>
        <item h="1" x="141"/>
        <item x="142"/>
        <item x="143"/>
        <item h="1" x="144"/>
        <item x="145"/>
        <item h="1" x="146"/>
        <item x="147"/>
        <item h="1" x="148"/>
        <item h="1" x="149"/>
        <item x="150"/>
        <item x="151"/>
        <item x="152"/>
        <item h="1" x="153"/>
        <item x="154"/>
        <item h="1" x="155"/>
        <item x="156"/>
        <item h="1" x="157"/>
        <item x="158"/>
        <item h="1" x="159"/>
        <item h="1" x="160"/>
        <item h="1" x="161"/>
        <item x="162"/>
        <item h="1" x="163"/>
        <item h="1" x="164"/>
        <item x="165"/>
        <item x="166"/>
        <item h="1" x="167"/>
        <item h="1" x="168"/>
        <item h="1" x="169"/>
        <item x="170"/>
        <item x="171"/>
        <item h="1" x="172"/>
        <item h="1" x="173"/>
        <item x="174"/>
        <item h="1" x="175"/>
        <item h="1" x="176"/>
        <item h="1" x="177"/>
        <item x="178"/>
        <item h="1" x="179"/>
        <item h="1" x="180"/>
        <item h="1" x="181"/>
        <item h="1" x="182"/>
        <item h="1" x="183"/>
        <item x="184"/>
        <item h="1" x="185"/>
        <item h="1" x="186"/>
        <item h="1" x="187"/>
        <item x="188"/>
        <item x="189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ntidadItem" dataField="1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6"/>
  </rowFields>
  <colFields>
    <field x="-2"/>
  </colFields>
  <pageFields>
    <pageField fld="2"/>
  </pageFields>
  <dataFields>
    <dataField name="SUM of CantidadItem" fld="17" baseField="0"/>
    <dataField name="SUM of MontoNetoItem" fld="19" baseField="0"/>
    <dataField name="COUNTA of codigoOC" fld="0" subtotal="count" baseField="0"/>
  </dataFields>
</pivotTableDefinition>
</file>

<file path=xl/pivotTables/pivotTable2.xml><?xml version="1.0" encoding="utf-8"?>
<pivotTableDefinition xmlns="http://schemas.openxmlformats.org/spreadsheetml/2006/main" name="Tabla dinámica 2024" cacheId="0" dataCaption="" compact="0" compactData="0">
  <location ref="A1:D22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x="16"/>
        <item x="93"/>
        <item x="63"/>
        <item x="21"/>
        <item x="55"/>
        <item x="37"/>
        <item x="73"/>
        <item x="61"/>
        <item x="110"/>
        <item x="57"/>
        <item x="81"/>
        <item x="111"/>
        <item x="50"/>
        <item x="80"/>
        <item x="112"/>
        <item x="54"/>
        <item x="75"/>
        <item x="65"/>
        <item x="79"/>
        <item x="45"/>
        <item x="71"/>
        <item x="17"/>
        <item x="5"/>
        <item x="41"/>
        <item x="42"/>
        <item x="113"/>
        <item x="89"/>
        <item x="92"/>
        <item x="46"/>
        <item x="87"/>
        <item x="1"/>
        <item x="115"/>
        <item x="15"/>
        <item x="76"/>
        <item x="101"/>
        <item x="53"/>
        <item x="116"/>
        <item x="103"/>
        <item x="117"/>
        <item x="49"/>
        <item x="39"/>
        <item x="38"/>
        <item x="13"/>
        <item x="67"/>
        <item x="77"/>
        <item x="40"/>
        <item x="51"/>
        <item x="94"/>
        <item x="33"/>
        <item x="10"/>
        <item x="6"/>
        <item x="74"/>
        <item x="52"/>
        <item x="105"/>
        <item x="90"/>
        <item x="120"/>
        <item x="43"/>
        <item x="2"/>
        <item x="95"/>
        <item x="11"/>
        <item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descending">
      <items>
        <item h="1" x="0"/>
        <item h="1" x="94"/>
        <item h="1" x="21"/>
        <item h="1" x="82"/>
        <item h="1" x="185"/>
        <item h="1" x="17"/>
        <item h="1" x="44"/>
        <item h="1" x="153"/>
        <item h="1" x="157"/>
        <item h="1" x="71"/>
        <item h="1" x="99"/>
        <item h="1" x="42"/>
        <item h="1" x="77"/>
        <item h="1" x="14"/>
        <item h="1" x="81"/>
        <item h="1" x="126"/>
        <item h="1" x="97"/>
        <item h="1" x="141"/>
        <item h="1" x="116"/>
        <item h="1" x="121"/>
        <item h="1" x="70"/>
        <item h="1" x="41"/>
        <item h="1" x="24"/>
        <item h="1" x="75"/>
        <item h="1" x="52"/>
        <item h="1" x="13"/>
        <item h="1" x="60"/>
        <item h="1" x="5"/>
        <item h="1" x="48"/>
        <item h="1" x="39"/>
        <item h="1" x="92"/>
        <item h="1" x="61"/>
        <item h="1" x="32"/>
        <item h="1" x="68"/>
        <item h="1" x="149"/>
        <item h="1" x="137"/>
        <item h="1" x="45"/>
        <item h="1" x="76"/>
        <item h="1" x="12"/>
        <item h="1" x="53"/>
        <item h="1" x="184"/>
        <item h="1" x="127"/>
        <item h="1" x="188"/>
        <item h="1" x="125"/>
        <item h="1" x="78"/>
        <item h="1" x="132"/>
        <item h="1" x="8"/>
        <item h="1" x="112"/>
        <item h="1" x="158"/>
        <item h="1" x="145"/>
        <item h="1" x="134"/>
        <item h="1" x="58"/>
        <item h="1" x="124"/>
        <item h="1" x="35"/>
        <item h="1" x="27"/>
        <item h="1" x="83"/>
        <item h="1" x="15"/>
        <item h="1" x="154"/>
        <item h="1" x="43"/>
        <item h="1" x="166"/>
        <item h="1" x="87"/>
        <item h="1" x="131"/>
        <item h="1" x="114"/>
        <item h="1" x="165"/>
        <item h="1" x="178"/>
        <item h="1" x="11"/>
        <item h="1" x="139"/>
        <item h="1" x="28"/>
        <item h="1" x="29"/>
        <item x="148"/>
        <item x="80"/>
        <item x="19"/>
        <item x="122"/>
        <item x="26"/>
        <item x="18"/>
        <item x="90"/>
        <item x="33"/>
        <item x="123"/>
        <item x="159"/>
        <item x="62"/>
        <item x="135"/>
        <item x="3"/>
        <item x="183"/>
        <item x="63"/>
        <item x="98"/>
        <item x="110"/>
        <item x="56"/>
        <item x="167"/>
        <item x="85"/>
        <item x="10"/>
        <item x="22"/>
        <item x="4"/>
        <item h="1" x="30"/>
        <item h="1" x="86"/>
        <item h="1" x="65"/>
        <item h="1" x="73"/>
        <item h="1" x="164"/>
        <item h="1" x="102"/>
        <item h="1" x="176"/>
        <item h="1" x="36"/>
        <item h="1" x="175"/>
        <item h="1" x="101"/>
        <item h="1" x="117"/>
        <item h="1" x="181"/>
        <item h="1" x="168"/>
        <item x="160"/>
        <item h="1" x="74"/>
        <item h="1" x="143"/>
        <item h="1" x="189"/>
        <item h="1" x="174"/>
        <item h="1" x="152"/>
        <item h="1" x="133"/>
        <item h="1" x="147"/>
        <item h="1" x="108"/>
        <item h="1" x="151"/>
        <item h="1" x="171"/>
        <item h="1" x="93"/>
        <item h="1" x="156"/>
        <item h="1" x="170"/>
        <item h="1" x="40"/>
        <item h="1" x="105"/>
        <item h="1" x="119"/>
        <item h="1" x="142"/>
        <item h="1" x="138"/>
        <item h="1" x="79"/>
        <item x="182"/>
        <item x="55"/>
        <item x="118"/>
        <item x="34"/>
        <item x="144"/>
        <item x="106"/>
        <item x="47"/>
        <item x="177"/>
        <item x="186"/>
        <item x="180"/>
        <item x="155"/>
        <item x="69"/>
        <item x="187"/>
        <item x="96"/>
        <item x="173"/>
        <item x="31"/>
        <item x="161"/>
        <item x="179"/>
        <item x="95"/>
        <item h="1" x="107"/>
        <item h="1" x="109"/>
        <item x="88"/>
        <item x="7"/>
        <item h="1" x="9"/>
        <item h="1" x="54"/>
        <item h="1" x="49"/>
        <item h="1" x="2"/>
        <item h="1" x="57"/>
        <item h="1" x="129"/>
        <item h="1" x="136"/>
        <item h="1" x="89"/>
        <item h="1" x="172"/>
        <item h="1" x="50"/>
        <item h="1" x="169"/>
        <item h="1" x="20"/>
        <item h="1" x="140"/>
        <item h="1" x="128"/>
        <item h="1" x="25"/>
        <item h="1" x="23"/>
        <item h="1" x="146"/>
        <item h="1" x="37"/>
        <item h="1" x="6"/>
        <item h="1" x="59"/>
        <item h="1" x="64"/>
        <item h="1" x="51"/>
        <item h="1" x="91"/>
        <item h="1" x="38"/>
        <item h="1" x="103"/>
        <item h="1" x="67"/>
        <item h="1" x="163"/>
        <item h="1" x="111"/>
        <item h="1" x="162"/>
        <item h="1" x="150"/>
        <item h="1" x="130"/>
        <item h="1" x="16"/>
        <item h="1" x="100"/>
        <item h="1" x="113"/>
        <item h="1" x="115"/>
        <item h="1" x="120"/>
        <item h="1" x="104"/>
        <item h="1" x="1"/>
        <item h="1" x="66"/>
        <item h="1" x="46"/>
        <item h="1" x="84"/>
        <item h="1" x="72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COUNT of MontoTotalOC" fld="8" subtotal="countNums" baseField="0"/>
    <dataField name="SUM of MontoTotalOC" fld="8" baseField="0"/>
  </dataFields>
</pivotTableDefinition>
</file>

<file path=xl/pivotTables/pivotTable3.xml><?xml version="1.0" encoding="utf-8"?>
<pivotTableDefinition xmlns="http://schemas.openxmlformats.org/spreadsheetml/2006/main" name="Tabla dinámica 2024 2" cacheId="0" dataCaption="" compact="0" compactData="0">
  <location ref="E1:H10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x="16"/>
        <item x="93"/>
        <item x="63"/>
        <item x="21"/>
        <item x="55"/>
        <item x="37"/>
        <item x="73"/>
        <item x="61"/>
        <item x="110"/>
        <item x="57"/>
        <item x="81"/>
        <item x="111"/>
        <item x="50"/>
        <item x="80"/>
        <item x="112"/>
        <item x="54"/>
        <item x="75"/>
        <item x="65"/>
        <item x="79"/>
        <item x="45"/>
        <item x="71"/>
        <item x="17"/>
        <item x="5"/>
        <item x="41"/>
        <item x="42"/>
        <item x="113"/>
        <item x="89"/>
        <item x="92"/>
        <item x="46"/>
        <item x="87"/>
        <item x="1"/>
        <item x="115"/>
        <item x="15"/>
        <item x="76"/>
        <item x="101"/>
        <item x="53"/>
        <item x="116"/>
        <item x="103"/>
        <item x="117"/>
        <item x="49"/>
        <item x="39"/>
        <item x="38"/>
        <item x="13"/>
        <item x="67"/>
        <item x="77"/>
        <item x="40"/>
        <item x="51"/>
        <item x="94"/>
        <item x="33"/>
        <item x="10"/>
        <item x="6"/>
        <item x="74"/>
        <item x="52"/>
        <item x="105"/>
        <item x="90"/>
        <item x="120"/>
        <item x="43"/>
        <item x="2"/>
        <item x="95"/>
        <item x="11"/>
        <item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x="101"/>
        <item h="1"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x="164"/>
        <item h="1" x="165"/>
        <item h="1" x="166"/>
        <item h="1" x="167"/>
        <item x="168"/>
        <item h="1" x="169"/>
        <item h="1" x="170"/>
        <item h="1" x="171"/>
        <item h="1" x="172"/>
        <item h="1" x="173"/>
        <item h="1" x="174"/>
        <item x="175"/>
        <item x="176"/>
        <item h="1" x="177"/>
        <item h="1" x="178"/>
        <item h="1" x="179"/>
        <item h="1" x="180"/>
        <item x="181"/>
        <item h="1" x="182"/>
        <item h="1" x="183"/>
        <item h="1" x="184"/>
        <item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4.xml><?xml version="1.0" encoding="utf-8"?>
<pivotTableDefinition xmlns="http://schemas.openxmlformats.org/spreadsheetml/2006/main" name="Tabla dinámica 2024 3" cacheId="0" dataCaption="" compact="0" compactData="0">
  <location ref="I1:L24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x="16"/>
        <item x="93"/>
        <item x="63"/>
        <item x="21"/>
        <item x="55"/>
        <item x="37"/>
        <item x="73"/>
        <item x="61"/>
        <item x="110"/>
        <item x="57"/>
        <item x="81"/>
        <item x="111"/>
        <item x="50"/>
        <item x="80"/>
        <item x="112"/>
        <item x="54"/>
        <item x="75"/>
        <item x="65"/>
        <item x="79"/>
        <item x="45"/>
        <item x="71"/>
        <item x="17"/>
        <item x="5"/>
        <item x="41"/>
        <item x="42"/>
        <item x="113"/>
        <item x="89"/>
        <item x="92"/>
        <item x="46"/>
        <item x="87"/>
        <item x="1"/>
        <item x="115"/>
        <item x="15"/>
        <item x="76"/>
        <item x="101"/>
        <item x="53"/>
        <item x="116"/>
        <item x="103"/>
        <item x="117"/>
        <item x="49"/>
        <item x="39"/>
        <item x="38"/>
        <item x="13"/>
        <item x="67"/>
        <item x="77"/>
        <item x="40"/>
        <item x="51"/>
        <item x="94"/>
        <item x="33"/>
        <item x="10"/>
        <item x="6"/>
        <item x="74"/>
        <item x="52"/>
        <item x="105"/>
        <item x="90"/>
        <item x="120"/>
        <item x="43"/>
        <item x="2"/>
        <item x="95"/>
        <item x="11"/>
        <item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x="11"/>
        <item x="12"/>
        <item h="1" x="13"/>
        <item h="1" x="14"/>
        <item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x="27"/>
        <item x="28"/>
        <item x="29"/>
        <item h="1" x="30"/>
        <item h="1" x="31"/>
        <item h="1" x="32"/>
        <item h="1" x="33"/>
        <item h="1" x="34"/>
        <item x="35"/>
        <item h="1" x="36"/>
        <item h="1" x="37"/>
        <item h="1" x="38"/>
        <item h="1" x="39"/>
        <item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x="53"/>
        <item h="1" x="54"/>
        <item h="1" x="55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x="78"/>
        <item x="79"/>
        <item h="1" x="80"/>
        <item h="1" x="81"/>
        <item h="1" x="82"/>
        <item x="83"/>
        <item h="1" x="84"/>
        <item h="1" x="85"/>
        <item h="1" x="86"/>
        <item x="87"/>
        <item h="1" x="88"/>
        <item h="1" x="89"/>
        <item h="1" x="90"/>
        <item h="1" x="91"/>
        <item h="1" x="92"/>
        <item x="93"/>
        <item x="94"/>
        <item h="1"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x="105"/>
        <item h="1" x="106"/>
        <item h="1" x="107"/>
        <item x="108"/>
        <item h="1" x="109"/>
        <item h="1" x="110"/>
        <item h="1" x="111"/>
        <item x="112"/>
        <item h="1" x="113"/>
        <item x="114"/>
        <item h="1" x="115"/>
        <item h="1" x="116"/>
        <item h="1" x="117"/>
        <item h="1" x="118"/>
        <item x="119"/>
        <item h="1" x="120"/>
        <item h="1" x="121"/>
        <item h="1" x="122"/>
        <item h="1" x="123"/>
        <item x="124"/>
        <item x="125"/>
        <item h="1" x="126"/>
        <item x="127"/>
        <item h="1" x="128"/>
        <item h="1" x="129"/>
        <item x="130"/>
        <item x="131"/>
        <item x="132"/>
        <item x="133"/>
        <item x="134"/>
        <item h="1" x="135"/>
        <item h="1" x="136"/>
        <item h="1" x="137"/>
        <item x="138"/>
        <item x="139"/>
        <item h="1" x="140"/>
        <item h="1" x="141"/>
        <item x="142"/>
        <item x="143"/>
        <item h="1" x="144"/>
        <item x="145"/>
        <item h="1" x="146"/>
        <item x="147"/>
        <item h="1" x="148"/>
        <item h="1" x="149"/>
        <item x="150"/>
        <item x="151"/>
        <item x="152"/>
        <item h="1" x="153"/>
        <item x="154"/>
        <item h="1" x="155"/>
        <item x="156"/>
        <item h="1" x="157"/>
        <item x="158"/>
        <item h="1" x="159"/>
        <item h="1" x="160"/>
        <item h="1" x="161"/>
        <item x="162"/>
        <item h="1" x="163"/>
        <item h="1" x="164"/>
        <item x="165"/>
        <item x="166"/>
        <item h="1" x="167"/>
        <item h="1" x="168"/>
        <item h="1" x="169"/>
        <item x="170"/>
        <item x="171"/>
        <item h="1" x="172"/>
        <item h="1" x="173"/>
        <item x="174"/>
        <item h="1" x="175"/>
        <item h="1" x="176"/>
        <item h="1" x="177"/>
        <item x="178"/>
        <item h="1" x="179"/>
        <item h="1" x="180"/>
        <item h="1" x="181"/>
        <item h="1" x="182"/>
        <item h="1" x="183"/>
        <item x="184"/>
        <item h="1" x="185"/>
        <item h="1" x="186"/>
        <item h="1" x="187"/>
        <item x="188"/>
        <item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5.xml><?xml version="1.0" encoding="utf-8"?>
<pivotTableDefinition xmlns="http://schemas.openxmlformats.org/spreadsheetml/2006/main" name="Tabla dinámica 2024 4" cacheId="0" dataCaption="" compact="0" compactData="0">
  <location ref="E12:H16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x="16"/>
        <item x="93"/>
        <item x="63"/>
        <item x="21"/>
        <item x="55"/>
        <item x="37"/>
        <item x="73"/>
        <item x="61"/>
        <item x="110"/>
        <item x="57"/>
        <item x="81"/>
        <item x="111"/>
        <item x="50"/>
        <item x="80"/>
        <item x="112"/>
        <item x="54"/>
        <item x="75"/>
        <item x="65"/>
        <item x="79"/>
        <item x="45"/>
        <item x="71"/>
        <item x="17"/>
        <item x="5"/>
        <item x="41"/>
        <item x="42"/>
        <item x="113"/>
        <item x="89"/>
        <item x="92"/>
        <item x="46"/>
        <item x="87"/>
        <item x="1"/>
        <item x="115"/>
        <item x="15"/>
        <item x="76"/>
        <item x="101"/>
        <item x="53"/>
        <item x="116"/>
        <item x="103"/>
        <item x="117"/>
        <item x="49"/>
        <item x="39"/>
        <item x="38"/>
        <item x="13"/>
        <item x="67"/>
        <item x="77"/>
        <item x="40"/>
        <item x="51"/>
        <item x="94"/>
        <item x="33"/>
        <item x="10"/>
        <item x="6"/>
        <item x="74"/>
        <item x="52"/>
        <item x="105"/>
        <item x="90"/>
        <item x="120"/>
        <item x="43"/>
        <item x="2"/>
        <item x="95"/>
        <item x="11"/>
        <item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x="107"/>
        <item h="1" x="108"/>
        <item x="109"/>
        <item h="1" x="110"/>
        <item h="1" x="111"/>
        <item h="1" x="112"/>
        <item x="113"/>
        <item h="1" x="114"/>
        <item x="115"/>
        <item h="1" x="116"/>
        <item h="1" x="117"/>
        <item h="1" x="118"/>
        <item h="1" x="119"/>
        <item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6.xml><?xml version="1.0" encoding="utf-8"?>
<pivotTableDefinition xmlns="http://schemas.openxmlformats.org/spreadsheetml/2006/main" name="Tabla dinámica 2024 5" cacheId="0" dataCaption="" compact="0" compactData="0">
  <location ref="E18:H31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x="16"/>
        <item x="93"/>
        <item x="63"/>
        <item x="21"/>
        <item x="55"/>
        <item x="37"/>
        <item x="73"/>
        <item x="61"/>
        <item x="110"/>
        <item x="57"/>
        <item x="81"/>
        <item x="111"/>
        <item x="50"/>
        <item x="80"/>
        <item x="112"/>
        <item x="54"/>
        <item x="75"/>
        <item x="65"/>
        <item x="79"/>
        <item x="45"/>
        <item x="71"/>
        <item x="17"/>
        <item x="5"/>
        <item x="41"/>
        <item x="42"/>
        <item x="113"/>
        <item x="89"/>
        <item x="92"/>
        <item x="46"/>
        <item x="87"/>
        <item x="1"/>
        <item x="115"/>
        <item x="15"/>
        <item x="76"/>
        <item x="101"/>
        <item x="53"/>
        <item x="116"/>
        <item x="103"/>
        <item x="117"/>
        <item x="49"/>
        <item x="39"/>
        <item x="38"/>
        <item x="13"/>
        <item x="67"/>
        <item x="77"/>
        <item x="40"/>
        <item x="51"/>
        <item x="94"/>
        <item x="33"/>
        <item x="10"/>
        <item x="6"/>
        <item x="74"/>
        <item x="52"/>
        <item x="105"/>
        <item x="90"/>
        <item x="120"/>
        <item x="43"/>
        <item x="2"/>
        <item x="95"/>
        <item x="11"/>
        <item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x="38"/>
        <item h="1" x="39"/>
        <item h="1" x="40"/>
        <item x="41"/>
        <item h="1" x="42"/>
        <item h="1" x="43"/>
        <item h="1" x="44"/>
        <item h="1" x="45"/>
        <item x="46"/>
        <item h="1" x="47"/>
        <item h="1" x="48"/>
        <item h="1" x="49"/>
        <item h="1" x="50"/>
        <item x="51"/>
        <item x="52"/>
        <item h="1" x="53"/>
        <item h="1" x="54"/>
        <item h="1" x="55"/>
        <item h="1" x="56"/>
        <item h="1" x="57"/>
        <item h="1" x="58"/>
        <item x="59"/>
        <item h="1" x="60"/>
        <item h="1" x="61"/>
        <item h="1" x="62"/>
        <item h="1" x="63"/>
        <item x="64"/>
        <item h="1" x="65"/>
        <item x="66"/>
        <item x="67"/>
        <item h="1" x="68"/>
        <item h="1" x="69"/>
        <item h="1" x="70"/>
        <item h="1" x="71"/>
        <item x="72"/>
        <item h="1" x="73"/>
        <item x="74"/>
        <item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x="116"/>
        <item h="1" x="117"/>
        <item h="1" x="118"/>
        <item h="1" x="119"/>
        <item h="1" x="120"/>
        <item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h="1" x="154"/>
        <item h="1" x="155"/>
        <item h="1" x="156"/>
        <item x="157"/>
        <item h="1" x="158"/>
        <item h="1" x="159"/>
        <item h="1" x="160"/>
        <item h="1" x="161"/>
        <item h="1" x="162"/>
        <item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7.xml><?xml version="1.0" encoding="utf-8"?>
<pivotTableDefinition xmlns="http://schemas.openxmlformats.org/spreadsheetml/2006/main" name="Tabla dinámica 2024 6" cacheId="0" dataCaption="" compact="0" compactData="0">
  <location ref="A23:D42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x="16"/>
        <item x="93"/>
        <item x="63"/>
        <item x="21"/>
        <item x="55"/>
        <item x="37"/>
        <item x="73"/>
        <item x="61"/>
        <item x="110"/>
        <item x="57"/>
        <item x="81"/>
        <item x="111"/>
        <item x="50"/>
        <item x="80"/>
        <item x="112"/>
        <item x="54"/>
        <item x="75"/>
        <item x="65"/>
        <item x="79"/>
        <item x="45"/>
        <item x="71"/>
        <item x="17"/>
        <item x="5"/>
        <item x="41"/>
        <item x="42"/>
        <item x="113"/>
        <item x="89"/>
        <item x="92"/>
        <item x="46"/>
        <item x="87"/>
        <item x="1"/>
        <item x="115"/>
        <item x="15"/>
        <item x="76"/>
        <item x="101"/>
        <item x="53"/>
        <item x="116"/>
        <item x="103"/>
        <item x="117"/>
        <item x="49"/>
        <item x="39"/>
        <item x="38"/>
        <item x="13"/>
        <item x="67"/>
        <item x="77"/>
        <item x="40"/>
        <item x="51"/>
        <item x="94"/>
        <item x="33"/>
        <item x="10"/>
        <item x="6"/>
        <item x="74"/>
        <item x="52"/>
        <item x="105"/>
        <item x="90"/>
        <item x="120"/>
        <item x="43"/>
        <item x="2"/>
        <item x="95"/>
        <item x="11"/>
        <item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descending">
      <items>
        <item h="1" x="0"/>
        <item x="1"/>
        <item x="2"/>
        <item h="1" x="3"/>
        <item h="1" x="4"/>
        <item h="1" x="5"/>
        <item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x="23"/>
        <item h="1" x="24"/>
        <item x="25"/>
        <item h="1" x="26"/>
        <item h="1" x="27"/>
        <item h="1" x="28"/>
        <item h="1" x="29"/>
        <item x="30"/>
        <item h="1" x="31"/>
        <item h="1" x="32"/>
        <item h="1" x="33"/>
        <item h="1" x="34"/>
        <item h="1"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x="50"/>
        <item h="1" x="51"/>
        <item h="1" x="52"/>
        <item h="1" x="53"/>
        <item x="54"/>
        <item h="1" x="55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85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x="102"/>
        <item h="1" x="103"/>
        <item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x="126"/>
        <item h="1" x="127"/>
        <item x="128"/>
        <item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x="140"/>
        <item h="1" x="141"/>
        <item h="1" x="142"/>
        <item h="1" x="143"/>
        <item h="1" x="144"/>
        <item h="1" x="145"/>
        <item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x="169"/>
        <item h="1" x="170"/>
        <item h="1" x="171"/>
        <item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8.xml><?xml version="1.0" encoding="utf-8"?>
<pivotTableDefinition xmlns="http://schemas.openxmlformats.org/spreadsheetml/2006/main" name="Tabla dinámica 2024 7" cacheId="0" dataCaption="" compact="0" compactData="0">
  <location ref="E33:H45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x="16"/>
        <item x="93"/>
        <item x="63"/>
        <item x="21"/>
        <item x="55"/>
        <item x="37"/>
        <item x="73"/>
        <item x="61"/>
        <item x="110"/>
        <item x="57"/>
        <item x="81"/>
        <item x="111"/>
        <item x="50"/>
        <item x="80"/>
        <item x="112"/>
        <item x="54"/>
        <item x="75"/>
        <item x="65"/>
        <item x="79"/>
        <item x="45"/>
        <item x="71"/>
        <item x="17"/>
        <item x="5"/>
        <item x="41"/>
        <item x="42"/>
        <item x="113"/>
        <item x="89"/>
        <item x="92"/>
        <item x="46"/>
        <item x="87"/>
        <item x="1"/>
        <item x="115"/>
        <item x="15"/>
        <item x="76"/>
        <item x="101"/>
        <item x="53"/>
        <item x="116"/>
        <item x="103"/>
        <item x="117"/>
        <item x="49"/>
        <item x="39"/>
        <item x="38"/>
        <item x="13"/>
        <item x="67"/>
        <item x="77"/>
        <item x="40"/>
        <item x="51"/>
        <item x="94"/>
        <item x="33"/>
        <item x="10"/>
        <item x="6"/>
        <item x="74"/>
        <item x="52"/>
        <item x="105"/>
        <item x="90"/>
        <item x="120"/>
        <item x="43"/>
        <item x="2"/>
        <item x="95"/>
        <item x="11"/>
        <item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descending">
      <items>
        <item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33"/>
        <item h="1" x="34"/>
        <item h="1" x="35"/>
        <item h="1" x="36"/>
        <item h="1" x="37"/>
        <item h="1" x="38"/>
        <item x="39"/>
        <item h="1" x="40"/>
        <item h="1" x="41"/>
        <item x="42"/>
        <item h="1" x="43"/>
        <item h="1" x="44"/>
        <item x="45"/>
        <item h="1" x="46"/>
        <item h="1" x="47"/>
        <item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x="60"/>
        <item x="61"/>
        <item h="1" x="62"/>
        <item h="1" x="63"/>
        <item h="1" x="64"/>
        <item x="65"/>
        <item h="1" x="66"/>
        <item h="1" x="67"/>
        <item x="68"/>
        <item h="1" x="69"/>
        <item h="1" x="70"/>
        <item x="71"/>
        <item h="1" x="72"/>
        <item h="1" x="73"/>
        <item h="1" x="74"/>
        <item h="1" x="75"/>
        <item x="76"/>
        <item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9.xml><?xml version="1.0" encoding="utf-8"?>
<pivotTableDefinition xmlns="http://schemas.openxmlformats.org/spreadsheetml/2006/main" name="tabla dinamica 2025" cacheId="0" dataCaption="" compact="0" compactData="0">
  <location ref="A1:D28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x="58"/>
        <item x="88"/>
        <item x="34"/>
        <item x="25"/>
        <item x="96"/>
        <item x="118"/>
        <item x="48"/>
        <item x="30"/>
        <item x="78"/>
        <item x="85"/>
        <item x="8"/>
        <item x="72"/>
        <item x="28"/>
        <item x="91"/>
        <item x="24"/>
        <item x="56"/>
        <item x="68"/>
        <item x="26"/>
        <item x="35"/>
        <item x="83"/>
        <item x="18"/>
        <item x="23"/>
        <item x="97"/>
        <item x="104"/>
        <item x="60"/>
        <item x="114"/>
        <item x="62"/>
        <item x="86"/>
        <item x="102"/>
        <item x="3"/>
        <item x="108"/>
        <item x="20"/>
        <item x="70"/>
        <item x="98"/>
        <item x="109"/>
        <item x="14"/>
        <item x="36"/>
        <item x="4"/>
        <item x="12"/>
        <item x="107"/>
        <item x="59"/>
        <item x="64"/>
        <item x="32"/>
        <item x="99"/>
        <item x="119"/>
        <item x="44"/>
        <item x="106"/>
        <item x="66"/>
        <item x="9"/>
        <item x="31"/>
        <item x="100"/>
        <item x="47"/>
        <item x="84"/>
        <item x="0"/>
        <item x="7"/>
        <item x="29"/>
        <item x="22"/>
        <item x="82"/>
        <item x="27"/>
        <item x="19"/>
      </items>
    </pivotField>
    <pivotField name="NombreOC" axis="axisRow" compact="0" outline="0" multipleItemSelectionAllowed="1" showAll="0" sortType="descending">
      <items>
        <item h="1" x="0"/>
        <item h="1" x="94"/>
        <item h="1" x="21"/>
        <item h="1" x="82"/>
        <item h="1" x="185"/>
        <item h="1" x="17"/>
        <item h="1" x="44"/>
        <item h="1" x="153"/>
        <item h="1" x="157"/>
        <item h="1" x="71"/>
        <item h="1" x="99"/>
        <item h="1" x="42"/>
        <item h="1" x="77"/>
        <item h="1" x="14"/>
        <item h="1" x="81"/>
        <item h="1" x="126"/>
        <item h="1" x="97"/>
        <item h="1" x="141"/>
        <item h="1" x="116"/>
        <item h="1" x="121"/>
        <item h="1" x="70"/>
        <item h="1" x="41"/>
        <item h="1" x="24"/>
        <item h="1" x="75"/>
        <item h="1" x="52"/>
        <item h="1" x="13"/>
        <item h="1" x="60"/>
        <item h="1" x="5"/>
        <item h="1" x="48"/>
        <item h="1" x="39"/>
        <item h="1" x="92"/>
        <item h="1" x="61"/>
        <item h="1" x="32"/>
        <item h="1" x="68"/>
        <item h="1" x="149"/>
        <item h="1" x="137"/>
        <item h="1" x="45"/>
        <item h="1" x="76"/>
        <item h="1" x="12"/>
        <item h="1" x="53"/>
        <item h="1" x="184"/>
        <item h="1" x="127"/>
        <item h="1" x="188"/>
        <item h="1" x="125"/>
        <item h="1" x="78"/>
        <item h="1" x="132"/>
        <item h="1" x="8"/>
        <item h="1" x="112"/>
        <item h="1" x="158"/>
        <item h="1" x="145"/>
        <item h="1" x="134"/>
        <item h="1" x="58"/>
        <item h="1" x="124"/>
        <item h="1" x="35"/>
        <item h="1" x="27"/>
        <item h="1" x="83"/>
        <item h="1" x="15"/>
        <item h="1" x="154"/>
        <item h="1" x="43"/>
        <item h="1" x="166"/>
        <item h="1" x="87"/>
        <item h="1" x="131"/>
        <item h="1" x="114"/>
        <item h="1" x="165"/>
        <item h="1" x="178"/>
        <item h="1" x="11"/>
        <item h="1" x="139"/>
        <item h="1" x="28"/>
        <item h="1" x="29"/>
        <item x="148"/>
        <item x="80"/>
        <item x="19"/>
        <item x="122"/>
        <item x="26"/>
        <item x="18"/>
        <item x="90"/>
        <item x="33"/>
        <item x="123"/>
        <item x="159"/>
        <item x="62"/>
        <item x="135"/>
        <item x="3"/>
        <item x="183"/>
        <item x="63"/>
        <item x="98"/>
        <item x="110"/>
        <item x="56"/>
        <item x="167"/>
        <item x="85"/>
        <item x="10"/>
        <item x="22"/>
        <item x="4"/>
        <item h="1" x="30"/>
        <item h="1" x="86"/>
        <item h="1" x="65"/>
        <item h="1" x="73"/>
        <item h="1" x="164"/>
        <item h="1" x="102"/>
        <item h="1" x="176"/>
        <item h="1" x="36"/>
        <item h="1" x="175"/>
        <item h="1" x="101"/>
        <item h="1" x="117"/>
        <item h="1" x="181"/>
        <item h="1" x="168"/>
        <item x="160"/>
        <item h="1" x="74"/>
        <item h="1" x="143"/>
        <item h="1" x="189"/>
        <item h="1" x="174"/>
        <item h="1" x="152"/>
        <item h="1" x="133"/>
        <item h="1" x="147"/>
        <item h="1" x="108"/>
        <item h="1" x="151"/>
        <item h="1" x="171"/>
        <item h="1" x="93"/>
        <item h="1" x="156"/>
        <item h="1" x="170"/>
        <item h="1" x="40"/>
        <item h="1" x="105"/>
        <item h="1" x="119"/>
        <item h="1" x="142"/>
        <item h="1" x="138"/>
        <item h="1" x="79"/>
        <item x="182"/>
        <item x="55"/>
        <item x="118"/>
        <item x="34"/>
        <item x="144"/>
        <item x="106"/>
        <item x="47"/>
        <item x="177"/>
        <item x="186"/>
        <item x="180"/>
        <item x="155"/>
        <item x="69"/>
        <item x="187"/>
        <item x="96"/>
        <item x="173"/>
        <item x="31"/>
        <item x="161"/>
        <item x="179"/>
        <item x="95"/>
        <item h="1" x="107"/>
        <item h="1" x="109"/>
        <item x="88"/>
        <item x="7"/>
        <item h="1" x="9"/>
        <item h="1" x="54"/>
        <item h="1" x="49"/>
        <item h="1" x="2"/>
        <item h="1" x="57"/>
        <item h="1" x="129"/>
        <item h="1" x="136"/>
        <item h="1" x="89"/>
        <item h="1" x="172"/>
        <item h="1" x="50"/>
        <item h="1" x="169"/>
        <item h="1" x="20"/>
        <item h="1" x="140"/>
        <item h="1" x="128"/>
        <item h="1" x="25"/>
        <item h="1" x="23"/>
        <item h="1" x="146"/>
        <item h="1" x="37"/>
        <item h="1" x="6"/>
        <item h="1" x="59"/>
        <item h="1" x="64"/>
        <item h="1" x="51"/>
        <item h="1" x="91"/>
        <item h="1" x="38"/>
        <item h="1" x="103"/>
        <item h="1" x="67"/>
        <item h="1" x="163"/>
        <item h="1" x="111"/>
        <item h="1" x="162"/>
        <item h="1" x="150"/>
        <item h="1" x="130"/>
        <item h="1" x="16"/>
        <item h="1" x="100"/>
        <item h="1" x="113"/>
        <item h="1" x="115"/>
        <item h="1" x="120"/>
        <item h="1" x="104"/>
        <item h="1" x="1"/>
        <item h="1" x="66"/>
        <item h="1" x="46"/>
        <item h="1" x="84"/>
        <item h="1" x="72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COUNT of MontoTotalOC" fld="8" subtotal="countNums" baseField="0"/>
    <dataField name="SUM of MontoTotalOC" fld="8" baseField="0"/>
  </dataFields>
</pivotTableDefinition>
</file>

<file path=xl/pivotTables/pivotTable10.xml><?xml version="1.0" encoding="utf-8"?>
<pivotTableDefinition xmlns="http://schemas.openxmlformats.org/spreadsheetml/2006/main" name="tabla dinamica 2025 2" cacheId="0" dataCaption="" compact="0" compactData="0">
  <location ref="E1:H9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x="58"/>
        <item x="88"/>
        <item x="34"/>
        <item x="25"/>
        <item x="96"/>
        <item x="118"/>
        <item x="48"/>
        <item x="30"/>
        <item x="78"/>
        <item x="85"/>
        <item x="8"/>
        <item x="72"/>
        <item x="28"/>
        <item x="91"/>
        <item x="24"/>
        <item x="56"/>
        <item x="68"/>
        <item x="26"/>
        <item x="35"/>
        <item x="83"/>
        <item x="18"/>
        <item x="23"/>
        <item x="97"/>
        <item x="104"/>
        <item x="60"/>
        <item x="114"/>
        <item x="62"/>
        <item x="86"/>
        <item x="102"/>
        <item x="3"/>
        <item x="108"/>
        <item x="20"/>
        <item x="70"/>
        <item x="98"/>
        <item x="109"/>
        <item x="14"/>
        <item x="36"/>
        <item x="4"/>
        <item x="12"/>
        <item x="107"/>
        <item x="59"/>
        <item x="64"/>
        <item x="32"/>
        <item x="99"/>
        <item x="119"/>
        <item x="44"/>
        <item x="106"/>
        <item x="66"/>
        <item x="9"/>
        <item x="31"/>
        <item x="100"/>
        <item x="47"/>
        <item x="84"/>
        <item x="0"/>
        <item x="7"/>
        <item x="29"/>
        <item x="22"/>
        <item x="82"/>
        <item x="27"/>
        <item x="19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x="101"/>
        <item h="1"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x="164"/>
        <item h="1" x="165"/>
        <item h="1" x="166"/>
        <item h="1" x="167"/>
        <item x="168"/>
        <item h="1" x="169"/>
        <item h="1" x="170"/>
        <item h="1" x="171"/>
        <item h="1" x="172"/>
        <item h="1" x="173"/>
        <item h="1" x="174"/>
        <item x="175"/>
        <item x="176"/>
        <item h="1" x="177"/>
        <item h="1" x="178"/>
        <item h="1" x="179"/>
        <item h="1" x="180"/>
        <item x="181"/>
        <item h="1" x="182"/>
        <item h="1" x="183"/>
        <item h="1" x="184"/>
        <item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11.xml><?xml version="1.0" encoding="utf-8"?>
<pivotTableDefinition xmlns="http://schemas.openxmlformats.org/spreadsheetml/2006/main" name="tabla dinamica 2025 3" cacheId="0" dataCaption="" compact="0" compactData="0">
  <location ref="I1:L36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x="58"/>
        <item x="88"/>
        <item x="34"/>
        <item x="25"/>
        <item x="96"/>
        <item x="118"/>
        <item x="48"/>
        <item x="30"/>
        <item x="78"/>
        <item x="85"/>
        <item x="8"/>
        <item x="72"/>
        <item x="28"/>
        <item x="91"/>
        <item x="24"/>
        <item x="56"/>
        <item x="68"/>
        <item x="26"/>
        <item x="35"/>
        <item x="83"/>
        <item x="18"/>
        <item x="23"/>
        <item x="97"/>
        <item x="104"/>
        <item x="60"/>
        <item x="114"/>
        <item x="62"/>
        <item x="86"/>
        <item x="102"/>
        <item x="3"/>
        <item x="108"/>
        <item x="20"/>
        <item x="70"/>
        <item x="98"/>
        <item x="109"/>
        <item x="14"/>
        <item x="36"/>
        <item x="4"/>
        <item x="12"/>
        <item x="107"/>
        <item x="59"/>
        <item x="64"/>
        <item x="32"/>
        <item x="99"/>
        <item x="119"/>
        <item x="44"/>
        <item x="106"/>
        <item x="66"/>
        <item x="9"/>
        <item x="31"/>
        <item x="100"/>
        <item x="47"/>
        <item x="84"/>
        <item x="0"/>
        <item x="7"/>
        <item x="29"/>
        <item x="22"/>
        <item x="82"/>
        <item x="27"/>
        <item x="19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x="11"/>
        <item x="12"/>
        <item h="1" x="13"/>
        <item h="1" x="14"/>
        <item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x="27"/>
        <item x="28"/>
        <item x="29"/>
        <item h="1" x="30"/>
        <item h="1" x="31"/>
        <item h="1" x="32"/>
        <item h="1" x="33"/>
        <item h="1" x="34"/>
        <item x="35"/>
        <item h="1" x="36"/>
        <item h="1" x="37"/>
        <item h="1" x="38"/>
        <item h="1" x="39"/>
        <item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x="53"/>
        <item h="1" x="54"/>
        <item h="1" x="55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x="78"/>
        <item x="79"/>
        <item h="1" x="80"/>
        <item h="1" x="81"/>
        <item h="1" x="82"/>
        <item x="83"/>
        <item h="1" x="84"/>
        <item h="1" x="85"/>
        <item h="1" x="86"/>
        <item x="87"/>
        <item h="1" x="88"/>
        <item h="1" x="89"/>
        <item h="1" x="90"/>
        <item h="1" x="91"/>
        <item h="1" x="92"/>
        <item x="93"/>
        <item x="94"/>
        <item h="1"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x="105"/>
        <item h="1" x="106"/>
        <item h="1" x="107"/>
        <item x="108"/>
        <item h="1" x="109"/>
        <item h="1" x="110"/>
        <item h="1" x="111"/>
        <item x="112"/>
        <item h="1" x="113"/>
        <item x="114"/>
        <item h="1" x="115"/>
        <item h="1" x="116"/>
        <item h="1" x="117"/>
        <item h="1" x="118"/>
        <item x="119"/>
        <item h="1" x="120"/>
        <item h="1" x="121"/>
        <item h="1" x="122"/>
        <item h="1" x="123"/>
        <item x="124"/>
        <item x="125"/>
        <item h="1" x="126"/>
        <item x="127"/>
        <item h="1" x="128"/>
        <item h="1" x="129"/>
        <item x="130"/>
        <item x="131"/>
        <item x="132"/>
        <item x="133"/>
        <item x="134"/>
        <item h="1" x="135"/>
        <item h="1" x="136"/>
        <item h="1" x="137"/>
        <item x="138"/>
        <item x="139"/>
        <item h="1" x="140"/>
        <item h="1" x="141"/>
        <item x="142"/>
        <item x="143"/>
        <item h="1" x="144"/>
        <item x="145"/>
        <item h="1" x="146"/>
        <item x="147"/>
        <item h="1" x="148"/>
        <item h="1" x="149"/>
        <item x="150"/>
        <item x="151"/>
        <item x="152"/>
        <item h="1" x="153"/>
        <item x="154"/>
        <item h="1" x="155"/>
        <item x="156"/>
        <item h="1" x="157"/>
        <item x="158"/>
        <item h="1" x="159"/>
        <item h="1" x="160"/>
        <item h="1" x="161"/>
        <item x="162"/>
        <item h="1" x="163"/>
        <item h="1" x="164"/>
        <item x="165"/>
        <item x="166"/>
        <item h="1" x="167"/>
        <item h="1" x="168"/>
        <item h="1" x="169"/>
        <item x="170"/>
        <item x="171"/>
        <item h="1" x="172"/>
        <item h="1" x="173"/>
        <item x="174"/>
        <item h="1" x="175"/>
        <item h="1" x="176"/>
        <item h="1" x="177"/>
        <item x="178"/>
        <item h="1" x="179"/>
        <item h="1" x="180"/>
        <item h="1" x="181"/>
        <item h="1" x="182"/>
        <item h="1" x="183"/>
        <item x="184"/>
        <item h="1" x="185"/>
        <item h="1" x="186"/>
        <item h="1" x="187"/>
        <item x="188"/>
        <item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12.xml><?xml version="1.0" encoding="utf-8"?>
<pivotTableDefinition xmlns="http://schemas.openxmlformats.org/spreadsheetml/2006/main" name="tabla dinamica 2025 4" cacheId="0" dataCaption="" compact="0" compactData="0">
  <location ref="E10:H13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x="58"/>
        <item x="88"/>
        <item x="34"/>
        <item x="25"/>
        <item x="96"/>
        <item x="118"/>
        <item x="48"/>
        <item x="30"/>
        <item x="78"/>
        <item x="85"/>
        <item x="8"/>
        <item x="72"/>
        <item x="28"/>
        <item x="91"/>
        <item x="24"/>
        <item x="56"/>
        <item x="68"/>
        <item x="26"/>
        <item x="35"/>
        <item x="83"/>
        <item x="18"/>
        <item x="23"/>
        <item x="97"/>
        <item x="104"/>
        <item x="60"/>
        <item x="114"/>
        <item x="62"/>
        <item x="86"/>
        <item x="102"/>
        <item x="3"/>
        <item x="108"/>
        <item x="20"/>
        <item x="70"/>
        <item x="98"/>
        <item x="109"/>
        <item x="14"/>
        <item x="36"/>
        <item x="4"/>
        <item x="12"/>
        <item x="107"/>
        <item x="59"/>
        <item x="64"/>
        <item x="32"/>
        <item x="99"/>
        <item x="119"/>
        <item x="44"/>
        <item x="106"/>
        <item x="66"/>
        <item x="9"/>
        <item x="31"/>
        <item x="100"/>
        <item x="47"/>
        <item x="84"/>
        <item x="0"/>
        <item x="7"/>
        <item x="29"/>
        <item x="22"/>
        <item x="82"/>
        <item x="27"/>
        <item x="19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x="107"/>
        <item h="1" x="108"/>
        <item x="109"/>
        <item h="1" x="110"/>
        <item h="1" x="111"/>
        <item h="1" x="112"/>
        <item x="113"/>
        <item h="1" x="114"/>
        <item x="115"/>
        <item h="1" x="116"/>
        <item h="1" x="117"/>
        <item h="1" x="118"/>
        <item h="1" x="119"/>
        <item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13.xml><?xml version="1.0" encoding="utf-8"?>
<pivotTableDefinition xmlns="http://schemas.openxmlformats.org/spreadsheetml/2006/main" name="tabla dinamica 2025 5" cacheId="0" dataCaption="" compact="0" compactData="0">
  <location ref="E14:H27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x="58"/>
        <item x="88"/>
        <item x="34"/>
        <item x="25"/>
        <item x="96"/>
        <item x="118"/>
        <item x="48"/>
        <item x="30"/>
        <item x="78"/>
        <item x="85"/>
        <item x="8"/>
        <item x="72"/>
        <item x="28"/>
        <item x="91"/>
        <item x="24"/>
        <item x="56"/>
        <item x="68"/>
        <item x="26"/>
        <item x="35"/>
        <item x="83"/>
        <item x="18"/>
        <item x="23"/>
        <item x="97"/>
        <item x="104"/>
        <item x="60"/>
        <item x="114"/>
        <item x="62"/>
        <item x="86"/>
        <item x="102"/>
        <item x="3"/>
        <item x="108"/>
        <item x="20"/>
        <item x="70"/>
        <item x="98"/>
        <item x="109"/>
        <item x="14"/>
        <item x="36"/>
        <item x="4"/>
        <item x="12"/>
        <item x="107"/>
        <item x="59"/>
        <item x="64"/>
        <item x="32"/>
        <item x="99"/>
        <item x="119"/>
        <item x="44"/>
        <item x="106"/>
        <item x="66"/>
        <item x="9"/>
        <item x="31"/>
        <item x="100"/>
        <item x="47"/>
        <item x="84"/>
        <item x="0"/>
        <item x="7"/>
        <item x="29"/>
        <item x="22"/>
        <item x="82"/>
        <item x="27"/>
        <item x="19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x="38"/>
        <item h="1" x="39"/>
        <item h="1" x="40"/>
        <item x="41"/>
        <item h="1" x="42"/>
        <item h="1" x="43"/>
        <item h="1" x="44"/>
        <item h="1" x="45"/>
        <item x="46"/>
        <item h="1" x="47"/>
        <item h="1" x="48"/>
        <item h="1" x="49"/>
        <item h="1" x="50"/>
        <item x="51"/>
        <item x="52"/>
        <item h="1" x="53"/>
        <item h="1" x="54"/>
        <item h="1" x="55"/>
        <item h="1" x="56"/>
        <item h="1" x="57"/>
        <item h="1" x="58"/>
        <item x="59"/>
        <item h="1" x="60"/>
        <item h="1" x="61"/>
        <item h="1" x="62"/>
        <item h="1" x="63"/>
        <item x="64"/>
        <item h="1" x="65"/>
        <item x="66"/>
        <item x="67"/>
        <item h="1" x="68"/>
        <item h="1" x="69"/>
        <item h="1" x="70"/>
        <item h="1" x="71"/>
        <item x="72"/>
        <item h="1" x="73"/>
        <item x="74"/>
        <item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x="116"/>
        <item h="1" x="117"/>
        <item h="1" x="118"/>
        <item h="1" x="119"/>
        <item h="1" x="120"/>
        <item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h="1" x="154"/>
        <item h="1" x="155"/>
        <item h="1" x="156"/>
        <item x="157"/>
        <item h="1" x="158"/>
        <item h="1" x="159"/>
        <item h="1" x="160"/>
        <item h="1" x="161"/>
        <item h="1" x="162"/>
        <item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14.xml><?xml version="1.0" encoding="utf-8"?>
<pivotTableDefinition xmlns="http://schemas.openxmlformats.org/spreadsheetml/2006/main" name="tabla dinamica 2025 6" cacheId="0" dataCaption="" compact="0" compactData="0">
  <location ref="E28:H38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x="58"/>
        <item x="88"/>
        <item x="34"/>
        <item x="25"/>
        <item x="96"/>
        <item x="118"/>
        <item x="48"/>
        <item x="30"/>
        <item x="78"/>
        <item x="85"/>
        <item x="8"/>
        <item x="72"/>
        <item x="28"/>
        <item x="91"/>
        <item x="24"/>
        <item x="56"/>
        <item x="68"/>
        <item x="26"/>
        <item x="35"/>
        <item x="83"/>
        <item x="18"/>
        <item x="23"/>
        <item x="97"/>
        <item x="104"/>
        <item x="60"/>
        <item x="114"/>
        <item x="62"/>
        <item x="86"/>
        <item x="102"/>
        <item x="3"/>
        <item x="108"/>
        <item x="20"/>
        <item x="70"/>
        <item x="98"/>
        <item x="109"/>
        <item x="14"/>
        <item x="36"/>
        <item x="4"/>
        <item x="12"/>
        <item x="107"/>
        <item x="59"/>
        <item x="64"/>
        <item x="32"/>
        <item x="99"/>
        <item x="119"/>
        <item x="44"/>
        <item x="106"/>
        <item x="66"/>
        <item x="9"/>
        <item x="31"/>
        <item x="100"/>
        <item x="47"/>
        <item x="84"/>
        <item x="0"/>
        <item x="7"/>
        <item x="29"/>
        <item x="22"/>
        <item x="82"/>
        <item x="27"/>
        <item x="19"/>
      </items>
    </pivotField>
    <pivotField name="NombreOC" axis="axisRow" compact="0" outline="0" multipleItemSelectionAllowed="1" showAll="0" sortType="descending">
      <items>
        <item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33"/>
        <item h="1" x="34"/>
        <item h="1" x="35"/>
        <item h="1" x="36"/>
        <item h="1" x="37"/>
        <item h="1" x="38"/>
        <item x="39"/>
        <item h="1" x="40"/>
        <item h="1" x="41"/>
        <item x="42"/>
        <item h="1" x="43"/>
        <item h="1" x="44"/>
        <item x="45"/>
        <item h="1" x="46"/>
        <item h="1" x="47"/>
        <item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x="60"/>
        <item x="61"/>
        <item h="1" x="62"/>
        <item h="1" x="63"/>
        <item h="1" x="64"/>
        <item x="65"/>
        <item h="1" x="66"/>
        <item h="1" x="67"/>
        <item x="68"/>
        <item h="1" x="69"/>
        <item h="1" x="70"/>
        <item x="71"/>
        <item h="1" x="72"/>
        <item h="1" x="73"/>
        <item h="1" x="74"/>
        <item h="1" x="75"/>
        <item x="76"/>
        <item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15.xml><?xml version="1.0" encoding="utf-8"?>
<pivotTableDefinition xmlns="http://schemas.openxmlformats.org/spreadsheetml/2006/main" name="tabla dinamica 2025 7" cacheId="0" dataCaption="" compact="0" compactData="0">
  <location ref="A29:D37" firstHeaderRow="0" firstDataRow="3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x="58"/>
        <item x="88"/>
        <item x="34"/>
        <item x="25"/>
        <item x="96"/>
        <item x="118"/>
        <item x="48"/>
        <item x="30"/>
        <item x="78"/>
        <item x="85"/>
        <item x="8"/>
        <item x="72"/>
        <item x="28"/>
        <item x="91"/>
        <item x="24"/>
        <item x="56"/>
        <item x="68"/>
        <item x="26"/>
        <item x="35"/>
        <item x="83"/>
        <item x="18"/>
        <item x="23"/>
        <item x="97"/>
        <item x="104"/>
        <item x="60"/>
        <item x="114"/>
        <item x="62"/>
        <item x="86"/>
        <item x="102"/>
        <item x="3"/>
        <item x="108"/>
        <item x="20"/>
        <item x="70"/>
        <item x="98"/>
        <item x="109"/>
        <item x="14"/>
        <item x="36"/>
        <item x="4"/>
        <item x="12"/>
        <item x="107"/>
        <item x="59"/>
        <item x="64"/>
        <item x="32"/>
        <item x="99"/>
        <item x="119"/>
        <item x="44"/>
        <item x="106"/>
        <item x="66"/>
        <item x="9"/>
        <item x="31"/>
        <item x="100"/>
        <item x="47"/>
        <item x="84"/>
        <item x="0"/>
        <item x="7"/>
        <item x="29"/>
        <item x="22"/>
        <item x="82"/>
        <item x="27"/>
        <item x="19"/>
      </items>
    </pivotField>
    <pivotField name="NombreOC" axis="axisRow" compact="0" outline="0" multipleItemSelectionAllowed="1" showAll="0" sortType="descending">
      <items>
        <item h="1" x="0"/>
        <item x="1"/>
        <item x="2"/>
        <item h="1" x="3"/>
        <item h="1" x="4"/>
        <item h="1" x="5"/>
        <item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x="23"/>
        <item h="1" x="24"/>
        <item x="25"/>
        <item h="1" x="26"/>
        <item h="1" x="27"/>
        <item h="1" x="28"/>
        <item h="1" x="29"/>
        <item x="30"/>
        <item h="1" x="31"/>
        <item h="1" x="32"/>
        <item h="1" x="33"/>
        <item h="1" x="34"/>
        <item h="1"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x="50"/>
        <item h="1" x="51"/>
        <item h="1" x="52"/>
        <item h="1" x="53"/>
        <item x="54"/>
        <item h="1" x="55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85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x="102"/>
        <item h="1" x="103"/>
        <item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x="126"/>
        <item h="1" x="127"/>
        <item x="128"/>
        <item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x="140"/>
        <item h="1" x="141"/>
        <item h="1" x="142"/>
        <item h="1" x="143"/>
        <item h="1" x="144"/>
        <item h="1" x="145"/>
        <item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x="169"/>
        <item h="1" x="170"/>
        <item h="1" x="171"/>
        <item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16.xml><?xml version="1.0" encoding="utf-8"?>
<pivotTableDefinition xmlns="http://schemas.openxmlformats.org/spreadsheetml/2006/main" name="tabla dinamica total" cacheId="0" dataCaption="" compact="0" compactData="0">
  <location ref="A1:C47" firstHeaderRow="0" firstDataRow="2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x="3"/>
        <item x="4"/>
        <item h="1" x="5"/>
        <item h="1" x="6"/>
        <item x="7"/>
        <item h="1" x="8"/>
        <item h="1" x="9"/>
        <item x="10"/>
        <item h="1" x="11"/>
        <item h="1" x="12"/>
        <item h="1" x="13"/>
        <item h="1" x="14"/>
        <item h="1" x="15"/>
        <item h="1" x="16"/>
        <item h="1" x="17"/>
        <item x="18"/>
        <item x="19"/>
        <item h="1" x="20"/>
        <item h="1" x="21"/>
        <item x="22"/>
        <item h="1" x="23"/>
        <item h="1" x="24"/>
        <item h="1" x="25"/>
        <item x="26"/>
        <item h="1" x="27"/>
        <item h="1" x="28"/>
        <item h="1" x="29"/>
        <item h="1" x="30"/>
        <item x="31"/>
        <item h="1" x="32"/>
        <item x="33"/>
        <item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x="47"/>
        <item h="1" x="48"/>
        <item h="1" x="49"/>
        <item h="1" x="50"/>
        <item h="1" x="51"/>
        <item h="1" x="52"/>
        <item h="1" x="53"/>
        <item h="1" x="54"/>
        <item x="55"/>
        <item x="56"/>
        <item h="1" x="57"/>
        <item h="1" x="58"/>
        <item h="1" x="59"/>
        <item h="1" x="60"/>
        <item h="1" x="61"/>
        <item x="62"/>
        <item x="63"/>
        <item h="1" x="64"/>
        <item h="1" x="65"/>
        <item h="1" x="66"/>
        <item h="1" x="67"/>
        <item h="1" x="68"/>
        <item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x="80"/>
        <item h="1" x="81"/>
        <item h="1" x="82"/>
        <item h="1" x="83"/>
        <item h="1" x="84"/>
        <item x="85"/>
        <item h="1" x="86"/>
        <item h="1" x="87"/>
        <item x="88"/>
        <item h="1" x="89"/>
        <item x="90"/>
        <item h="1" x="91"/>
        <item h="1" x="92"/>
        <item h="1" x="93"/>
        <item h="1" x="94"/>
        <item x="95"/>
        <item x="96"/>
        <item h="1" x="97"/>
        <item x="98"/>
        <item h="1" x="99"/>
        <item h="1" x="100"/>
        <item h="1" x="101"/>
        <item h="1" x="102"/>
        <item h="1" x="103"/>
        <item h="1" x="104"/>
        <item h="1" x="105"/>
        <item x="106"/>
        <item h="1" x="107"/>
        <item h="1" x="108"/>
        <item h="1" x="109"/>
        <item x="110"/>
        <item h="1" x="111"/>
        <item h="1" x="112"/>
        <item h="1" x="113"/>
        <item h="1" x="114"/>
        <item h="1" x="115"/>
        <item h="1" x="116"/>
        <item h="1" x="117"/>
        <item x="118"/>
        <item h="1" x="119"/>
        <item h="1" x="120"/>
        <item h="1" x="121"/>
        <item x="122"/>
        <item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x="135"/>
        <item h="1" x="136"/>
        <item h="1" x="137"/>
        <item h="1" x="138"/>
        <item h="1" x="139"/>
        <item h="1" x="140"/>
        <item h="1" x="141"/>
        <item h="1" x="142"/>
        <item h="1" x="143"/>
        <item x="144"/>
        <item h="1" x="145"/>
        <item h="1" x="146"/>
        <item h="1" x="147"/>
        <item x="148"/>
        <item h="1" x="149"/>
        <item h="1" x="150"/>
        <item h="1" x="151"/>
        <item h="1" x="152"/>
        <item h="1" x="153"/>
        <item h="1" x="154"/>
        <item x="155"/>
        <item h="1" x="156"/>
        <item h="1" x="157"/>
        <item h="1" x="158"/>
        <item x="159"/>
        <item x="160"/>
        <item x="161"/>
        <item h="1" x="162"/>
        <item h="1" x="163"/>
        <item h="1" x="164"/>
        <item h="1" x="165"/>
        <item h="1" x="166"/>
        <item x="167"/>
        <item h="1" x="168"/>
        <item h="1" x="169"/>
        <item h="1" x="170"/>
        <item h="1" x="171"/>
        <item h="1" x="172"/>
        <item x="173"/>
        <item h="1" x="174"/>
        <item h="1" x="175"/>
        <item h="1" x="176"/>
        <item x="177"/>
        <item h="1" x="178"/>
        <item x="179"/>
        <item x="180"/>
        <item h="1" x="181"/>
        <item x="182"/>
        <item x="183"/>
        <item h="1" x="184"/>
        <item h="1" x="185"/>
        <item x="186"/>
        <item x="187"/>
        <item h="1" x="188"/>
        <item h="1" x="189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2"/>
  </rowFields>
  <colFields>
    <field x="-2"/>
  </colFields>
  <dataFields>
    <dataField name="COUNT of MontoTotalOC" fld="8" subtotal="countNums" baseField="0"/>
    <dataField name="SUM of MontoTotalOC" fld="8" baseField="0"/>
  </dataFields>
</pivotTableDefinition>
</file>

<file path=xl/pivotTables/pivotTable17.xml><?xml version="1.0" encoding="utf-8"?>
<pivotTableDefinition xmlns="http://schemas.openxmlformats.org/spreadsheetml/2006/main" name="tabla dinamica total 2" cacheId="0" dataCaption="" compact="0" compactData="0">
  <location ref="D1:F17" firstHeaderRow="0" firstDataRow="2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x="16"/>
        <item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x="36"/>
        <item h="1" x="37"/>
        <item h="1" x="38"/>
        <item h="1" x="39"/>
        <item h="1" x="40"/>
        <item h="1" x="41"/>
        <item h="1" x="42"/>
        <item h="1" x="43"/>
        <item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x="73"/>
        <item h="1" x="74"/>
        <item h="1" x="75"/>
        <item h="1" x="76"/>
        <item h="1" x="77"/>
        <item h="1" x="78"/>
        <item h="1" x="79"/>
        <item h="1" x="80"/>
        <item h="1" x="81"/>
        <item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x="101"/>
        <item h="1" x="102"/>
        <item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x="164"/>
        <item h="1" x="165"/>
        <item h="1" x="166"/>
        <item h="1" x="167"/>
        <item x="168"/>
        <item h="1" x="169"/>
        <item h="1" x="170"/>
        <item h="1" x="171"/>
        <item h="1" x="172"/>
        <item h="1" x="173"/>
        <item h="1" x="174"/>
        <item x="175"/>
        <item x="176"/>
        <item h="1" x="177"/>
        <item h="1" x="178"/>
        <item h="1" x="179"/>
        <item h="1" x="180"/>
        <item x="181"/>
        <item h="1" x="182"/>
        <item h="1" x="183"/>
        <item h="1" x="184"/>
        <item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18.xml><?xml version="1.0" encoding="utf-8"?>
<pivotTableDefinition xmlns="http://schemas.openxmlformats.org/spreadsheetml/2006/main" name="tabla dinamica total 3" cacheId="0" dataCaption="" compact="0" compactData="0">
  <location ref="G1:I58" firstHeaderRow="0" firstDataRow="2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x="11"/>
        <item x="12"/>
        <item h="1" x="13"/>
        <item h="1" x="14"/>
        <item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x="27"/>
        <item x="28"/>
        <item x="29"/>
        <item h="1" x="30"/>
        <item h="1" x="31"/>
        <item h="1" x="32"/>
        <item h="1" x="33"/>
        <item h="1" x="34"/>
        <item x="35"/>
        <item h="1" x="36"/>
        <item h="1" x="37"/>
        <item h="1" x="38"/>
        <item h="1" x="39"/>
        <item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x="53"/>
        <item h="1" x="54"/>
        <item h="1" x="55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x="78"/>
        <item x="79"/>
        <item h="1" x="80"/>
        <item h="1" x="81"/>
        <item h="1" x="82"/>
        <item x="83"/>
        <item h="1" x="84"/>
        <item h="1" x="85"/>
        <item h="1" x="86"/>
        <item x="87"/>
        <item h="1" x="88"/>
        <item h="1" x="89"/>
        <item h="1" x="90"/>
        <item h="1" x="91"/>
        <item h="1" x="92"/>
        <item x="93"/>
        <item x="94"/>
        <item h="1"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x="105"/>
        <item h="1" x="106"/>
        <item h="1" x="107"/>
        <item x="108"/>
        <item h="1" x="109"/>
        <item h="1" x="110"/>
        <item h="1" x="111"/>
        <item x="112"/>
        <item h="1" x="113"/>
        <item x="114"/>
        <item h="1" x="115"/>
        <item h="1" x="116"/>
        <item h="1" x="117"/>
        <item h="1" x="118"/>
        <item x="119"/>
        <item h="1" x="120"/>
        <item h="1" x="121"/>
        <item h="1" x="122"/>
        <item h="1" x="123"/>
        <item x="124"/>
        <item x="125"/>
        <item h="1" x="126"/>
        <item x="127"/>
        <item h="1" x="128"/>
        <item h="1" x="129"/>
        <item x="130"/>
        <item x="131"/>
        <item x="132"/>
        <item x="133"/>
        <item x="134"/>
        <item h="1" x="135"/>
        <item h="1" x="136"/>
        <item h="1" x="137"/>
        <item x="138"/>
        <item x="139"/>
        <item h="1" x="140"/>
        <item h="1" x="141"/>
        <item x="142"/>
        <item x="143"/>
        <item h="1" x="144"/>
        <item x="145"/>
        <item h="1" x="146"/>
        <item x="147"/>
        <item h="1" x="148"/>
        <item h="1" x="149"/>
        <item x="150"/>
        <item x="151"/>
        <item x="152"/>
        <item h="1" x="153"/>
        <item x="154"/>
        <item h="1" x="155"/>
        <item x="156"/>
        <item h="1" x="157"/>
        <item x="158"/>
        <item h="1" x="159"/>
        <item h="1" x="160"/>
        <item h="1" x="161"/>
        <item x="162"/>
        <item h="1" x="163"/>
        <item h="1" x="164"/>
        <item x="165"/>
        <item x="166"/>
        <item h="1" x="167"/>
        <item h="1" x="168"/>
        <item h="1" x="169"/>
        <item x="170"/>
        <item x="171"/>
        <item h="1" x="172"/>
        <item h="1" x="173"/>
        <item x="174"/>
        <item h="1" x="175"/>
        <item h="1" x="176"/>
        <item h="1" x="177"/>
        <item x="178"/>
        <item h="1" x="179"/>
        <item h="1" x="180"/>
        <item h="1" x="181"/>
        <item h="1" x="182"/>
        <item h="1" x="183"/>
        <item x="184"/>
        <item h="1" x="185"/>
        <item h="1" x="186"/>
        <item h="1" x="187"/>
        <item x="188"/>
        <item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19.xml><?xml version="1.0" encoding="utf-8"?>
<pivotTableDefinition xmlns="http://schemas.openxmlformats.org/spreadsheetml/2006/main" name="tabla dinamica total 4" cacheId="0" dataCaption="" compact="0" compactData="0">
  <location ref="D18:F24" firstHeaderRow="0" firstDataRow="2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x="107"/>
        <item h="1" x="108"/>
        <item x="109"/>
        <item h="1" x="110"/>
        <item h="1" x="111"/>
        <item h="1" x="112"/>
        <item x="113"/>
        <item h="1" x="114"/>
        <item x="115"/>
        <item h="1" x="116"/>
        <item h="1" x="117"/>
        <item h="1" x="118"/>
        <item h="1" x="119"/>
        <item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20.xml><?xml version="1.0" encoding="utf-8"?>
<pivotTableDefinition xmlns="http://schemas.openxmlformats.org/spreadsheetml/2006/main" name="tabla dinamica total 5" cacheId="0" dataCaption="" compact="0" compactData="0">
  <location ref="D25:F50" firstHeaderRow="0" firstDataRow="2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Row" compact="0" outline="0" multipleItemSelectionAllowed="1" showAll="0" sortType="descending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x="38"/>
        <item h="1" x="39"/>
        <item h="1" x="40"/>
        <item x="41"/>
        <item h="1" x="42"/>
        <item h="1" x="43"/>
        <item h="1" x="44"/>
        <item h="1" x="45"/>
        <item x="46"/>
        <item h="1" x="47"/>
        <item h="1" x="48"/>
        <item h="1" x="49"/>
        <item h="1" x="50"/>
        <item x="51"/>
        <item x="52"/>
        <item h="1" x="53"/>
        <item h="1" x="54"/>
        <item h="1" x="55"/>
        <item h="1" x="56"/>
        <item h="1" x="57"/>
        <item h="1" x="58"/>
        <item x="59"/>
        <item h="1" x="60"/>
        <item h="1" x="61"/>
        <item h="1" x="62"/>
        <item h="1" x="63"/>
        <item x="64"/>
        <item h="1" x="65"/>
        <item x="66"/>
        <item x="67"/>
        <item h="1" x="68"/>
        <item h="1" x="69"/>
        <item h="1" x="70"/>
        <item h="1" x="71"/>
        <item x="72"/>
        <item h="1" x="73"/>
        <item x="74"/>
        <item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x="86"/>
        <item h="1" x="87"/>
        <item h="1" x="88"/>
        <item h="1" x="89"/>
        <item h="1" x="90"/>
        <item x="91"/>
        <item h="1" x="92"/>
        <item h="1" x="93"/>
        <item h="1" x="94"/>
        <item h="1" x="95"/>
        <item h="1" x="96"/>
        <item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x="116"/>
        <item h="1" x="117"/>
        <item h="1" x="118"/>
        <item h="1" x="119"/>
        <item h="1" x="120"/>
        <item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x="153"/>
        <item h="1" x="154"/>
        <item h="1" x="155"/>
        <item h="1" x="156"/>
        <item x="157"/>
        <item h="1" x="158"/>
        <item h="1" x="159"/>
        <item h="1" x="160"/>
        <item h="1" x="161"/>
        <item h="1" x="162"/>
        <item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21.xml><?xml version="1.0" encoding="utf-8"?>
<pivotTableDefinition xmlns="http://schemas.openxmlformats.org/spreadsheetml/2006/main" name="tabla dinamica total 6" cacheId="0" dataCaption="" compact="0" compactData="0">
  <location ref="A48:C74" firstHeaderRow="0" firstDataRow="2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Row" compact="0" outline="0" multipleItemSelectionAllowed="1" showAll="0" sortType="descending">
      <items>
        <item h="1" x="0"/>
        <item x="1"/>
        <item x="2"/>
        <item h="1" x="3"/>
        <item h="1" x="4"/>
        <item h="1" x="5"/>
        <item x="6"/>
        <item h="1" x="7"/>
        <item h="1" x="8"/>
        <item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x="23"/>
        <item h="1" x="24"/>
        <item x="25"/>
        <item h="1" x="26"/>
        <item h="1" x="27"/>
        <item h="1" x="28"/>
        <item h="1" x="29"/>
        <item x="30"/>
        <item h="1" x="31"/>
        <item h="1" x="32"/>
        <item h="1" x="33"/>
        <item h="1" x="34"/>
        <item h="1" x="35"/>
        <item h="1" x="36"/>
        <item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x="49"/>
        <item x="50"/>
        <item h="1" x="51"/>
        <item h="1" x="52"/>
        <item h="1" x="53"/>
        <item x="54"/>
        <item h="1" x="55"/>
        <item h="1" x="56"/>
        <item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x="81"/>
        <item h="1" x="82"/>
        <item h="1" x="83"/>
        <item h="1" x="84"/>
        <item h="1" x="85"/>
        <item h="1" x="86"/>
        <item h="1" x="87"/>
        <item h="1" x="88"/>
        <item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x="102"/>
        <item h="1" x="103"/>
        <item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x="126"/>
        <item h="1" x="127"/>
        <item x="128"/>
        <item x="129"/>
        <item h="1" x="130"/>
        <item h="1" x="131"/>
        <item h="1" x="132"/>
        <item h="1" x="133"/>
        <item h="1" x="134"/>
        <item h="1" x="135"/>
        <item x="136"/>
        <item h="1" x="137"/>
        <item h="1" x="138"/>
        <item h="1" x="139"/>
        <item x="140"/>
        <item h="1" x="141"/>
        <item h="1" x="142"/>
        <item h="1" x="143"/>
        <item h="1" x="144"/>
        <item h="1" x="145"/>
        <item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x="169"/>
        <item h="1" x="170"/>
        <item h="1" x="171"/>
        <item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22.xml><?xml version="1.0" encoding="utf-8"?>
<pivotTableDefinition xmlns="http://schemas.openxmlformats.org/spreadsheetml/2006/main" name="tabla dinamica total 7" cacheId="0" dataCaption="" compact="0" compactData="0">
  <location ref="D51:F72" firstHeaderRow="0" firstDataRow="2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Row" compact="0" outline="0" multipleItemSelectionAllowed="1" showAll="0" sortType="descending">
      <items>
        <item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x="32"/>
        <item h="1" x="33"/>
        <item h="1" x="34"/>
        <item h="1" x="35"/>
        <item h="1" x="36"/>
        <item h="1" x="37"/>
        <item h="1" x="38"/>
        <item x="39"/>
        <item h="1" x="40"/>
        <item h="1" x="41"/>
        <item x="42"/>
        <item h="1" x="43"/>
        <item h="1" x="44"/>
        <item x="45"/>
        <item h="1" x="46"/>
        <item h="1" x="47"/>
        <item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x="60"/>
        <item x="61"/>
        <item h="1" x="62"/>
        <item h="1" x="63"/>
        <item h="1" x="64"/>
        <item x="65"/>
        <item h="1" x="66"/>
        <item h="1" x="67"/>
        <item x="68"/>
        <item h="1" x="69"/>
        <item h="1" x="70"/>
        <item x="71"/>
        <item h="1" x="72"/>
        <item h="1" x="73"/>
        <item h="1" x="74"/>
        <item h="1" x="75"/>
        <item x="76"/>
        <item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x="92"/>
        <item h="1" x="93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23.xml><?xml version="1.0" encoding="utf-8"?>
<pivotTableDefinition xmlns="http://schemas.openxmlformats.org/spreadsheetml/2006/main" name="TOTALES" cacheId="0" dataCaption="" compact="0" compactData="0">
  <location ref="A1:C147" firstHeaderRow="0" firstDataRow="2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Row" compact="0" outline="0" multipleItemSelectionAllowed="1" showAll="0" sortType="descending">
      <items>
        <item x="0"/>
        <item x="1"/>
        <item x="2"/>
        <item h="1" x="3"/>
        <item h="1" x="4"/>
        <item x="5"/>
        <item x="6"/>
        <item h="1" x="7"/>
        <item x="8"/>
        <item x="9"/>
        <item h="1" x="10"/>
        <item x="11"/>
        <item x="12"/>
        <item x="13"/>
        <item x="14"/>
        <item x="15"/>
        <item x="16"/>
        <item x="17"/>
        <item h="1" x="18"/>
        <item h="1" x="19"/>
        <item x="20"/>
        <item x="21"/>
        <item h="1" x="22"/>
        <item x="23"/>
        <item x="24"/>
        <item x="25"/>
        <item h="1" x="26"/>
        <item x="27"/>
        <item x="28"/>
        <item x="29"/>
        <item x="30"/>
        <item h="1" x="31"/>
        <item x="32"/>
        <item h="1" x="33"/>
        <item h="1"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h="1" x="47"/>
        <item x="48"/>
        <item x="49"/>
        <item x="50"/>
        <item x="51"/>
        <item x="52"/>
        <item x="53"/>
        <item x="54"/>
        <item h="1" x="55"/>
        <item h="1" x="56"/>
        <item x="57"/>
        <item x="58"/>
        <item x="59"/>
        <item x="60"/>
        <item x="61"/>
        <item h="1" x="62"/>
        <item h="1" x="63"/>
        <item x="64"/>
        <item x="65"/>
        <item x="66"/>
        <item x="67"/>
        <item x="68"/>
        <item h="1" x="69"/>
        <item x="70"/>
        <item x="71"/>
        <item x="72"/>
        <item x="73"/>
        <item x="74"/>
        <item x="75"/>
        <item x="76"/>
        <item x="77"/>
        <item x="78"/>
        <item x="79"/>
        <item h="1" x="80"/>
        <item x="81"/>
        <item x="82"/>
        <item x="83"/>
        <item x="84"/>
        <item h="1" x="85"/>
        <item x="86"/>
        <item x="87"/>
        <item h="1" x="88"/>
        <item x="89"/>
        <item h="1" x="90"/>
        <item x="91"/>
        <item x="92"/>
        <item x="93"/>
        <item x="94"/>
        <item h="1" x="95"/>
        <item h="1" x="96"/>
        <item x="97"/>
        <item h="1" x="98"/>
        <item x="99"/>
        <item x="100"/>
        <item x="101"/>
        <item x="102"/>
        <item x="103"/>
        <item x="104"/>
        <item x="105"/>
        <item h="1" x="106"/>
        <item x="107"/>
        <item x="108"/>
        <item x="109"/>
        <item h="1" x="110"/>
        <item x="111"/>
        <item x="112"/>
        <item x="113"/>
        <item x="114"/>
        <item x="115"/>
        <item x="116"/>
        <item x="117"/>
        <item h="1" x="118"/>
        <item x="119"/>
        <item x="120"/>
        <item x="121"/>
        <item h="1" x="122"/>
        <item h="1"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h="1" x="135"/>
        <item x="136"/>
        <item x="137"/>
        <item x="138"/>
        <item x="139"/>
        <item x="140"/>
        <item x="141"/>
        <item x="142"/>
        <item x="143"/>
        <item h="1" x="144"/>
        <item x="145"/>
        <item x="146"/>
        <item x="147"/>
        <item h="1" x="148"/>
        <item x="149"/>
        <item x="150"/>
        <item x="151"/>
        <item x="152"/>
        <item x="153"/>
        <item x="154"/>
        <item h="1" x="155"/>
        <item x="156"/>
        <item x="157"/>
        <item x="158"/>
        <item h="1" x="159"/>
        <item h="1" x="160"/>
        <item h="1" x="161"/>
        <item x="162"/>
        <item x="163"/>
        <item x="164"/>
        <item x="165"/>
        <item x="166"/>
        <item h="1" x="167"/>
        <item x="168"/>
        <item x="169"/>
        <item x="170"/>
        <item x="171"/>
        <item x="172"/>
        <item h="1" x="173"/>
        <item x="174"/>
        <item x="175"/>
        <item x="176"/>
        <item h="1" x="177"/>
        <item x="178"/>
        <item h="1" x="179"/>
        <item h="1" x="180"/>
        <item x="181"/>
        <item h="1" x="182"/>
        <item h="1" x="183"/>
        <item x="184"/>
        <item x="185"/>
        <item h="1" x="186"/>
        <item h="1" x="187"/>
        <item x="188"/>
        <item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24.xml><?xml version="1.0" encoding="utf-8"?>
<pivotTableDefinition xmlns="http://schemas.openxmlformats.org/spreadsheetml/2006/main" name="TOTALES 2" cacheId="0" dataCaption="" compact="0" compactData="0">
  <location ref="E1:G192" firstHeaderRow="0" firstDataRow="2" firstDataCol="0"/>
  <pivotFields>
    <pivotField name="codigo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2"/>
  </rowFields>
  <colFields>
    <field x="-2"/>
  </colFields>
  <dataFields>
    <dataField name="Numero de ordenes" fld="8" subtotal="count" baseField="0"/>
    <dataField name="SUM of MontoTotalOC" fld="8" baseField="0"/>
  </dataFields>
</pivotTableDefinition>
</file>

<file path=xl/pivotTables/pivotTable25.xml><?xml version="1.0" encoding="utf-8"?>
<pivotTableDefinition xmlns="http://schemas.openxmlformats.org/spreadsheetml/2006/main" name="TOTALES 3" cacheId="0" dataCaption="" compact="0" compactData="0">
  <location ref="I3:K45" firstHeaderRow="0" firstDataRow="2" firstDataCol="0" rowPageCount="1" colPageCount="1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NombreOC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h="1" x="10"/>
        <item x="11"/>
        <item x="12"/>
        <item h="1" x="13"/>
        <item h="1" x="14"/>
        <item x="15"/>
        <item h="1" x="16"/>
        <item h="1" x="17"/>
        <item h="1" x="18"/>
        <item h="1" x="19"/>
        <item h="1" x="20"/>
        <item x="21"/>
        <item h="1" x="22"/>
        <item h="1" x="23"/>
        <item h="1" x="24"/>
        <item h="1" x="25"/>
        <item h="1" x="26"/>
        <item x="27"/>
        <item x="28"/>
        <item x="29"/>
        <item h="1" x="30"/>
        <item h="1" x="31"/>
        <item h="1" x="32"/>
        <item h="1" x="33"/>
        <item h="1" x="34"/>
        <item x="35"/>
        <item h="1" x="36"/>
        <item h="1" x="37"/>
        <item h="1" x="38"/>
        <item h="1" x="39"/>
        <item x="40"/>
        <item h="1" x="41"/>
        <item h="1" x="42"/>
        <item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x="53"/>
        <item h="1" x="54"/>
        <item h="1" x="55"/>
        <item h="1" x="56"/>
        <item h="1" x="57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x="70"/>
        <item h="1" x="71"/>
        <item h="1" x="72"/>
        <item h="1" x="73"/>
        <item h="1" x="74"/>
        <item h="1" x="75"/>
        <item h="1" x="76"/>
        <item h="1" x="77"/>
        <item x="78"/>
        <item x="79"/>
        <item h="1" x="80"/>
        <item h="1" x="81"/>
        <item h="1" x="82"/>
        <item x="83"/>
        <item h="1" x="84"/>
        <item h="1" x="85"/>
        <item h="1" x="86"/>
        <item x="87"/>
        <item h="1" x="88"/>
        <item h="1" x="89"/>
        <item h="1" x="90"/>
        <item h="1" x="91"/>
        <item h="1" x="92"/>
        <item x="93"/>
        <item x="94"/>
        <item h="1" x="95"/>
        <item h="1" x="96"/>
        <item h="1" x="97"/>
        <item h="1" x="98"/>
        <item h="1" x="99"/>
        <item x="100"/>
        <item h="1" x="101"/>
        <item h="1" x="102"/>
        <item h="1" x="103"/>
        <item h="1" x="104"/>
        <item x="105"/>
        <item h="1" x="106"/>
        <item h="1" x="107"/>
        <item x="108"/>
        <item h="1" x="109"/>
        <item h="1" x="110"/>
        <item h="1" x="111"/>
        <item x="112"/>
        <item h="1" x="113"/>
        <item x="114"/>
        <item h="1" x="115"/>
        <item h="1" x="116"/>
        <item h="1" x="117"/>
        <item h="1" x="118"/>
        <item x="119"/>
        <item h="1" x="120"/>
        <item h="1" x="121"/>
        <item h="1" x="122"/>
        <item h="1" x="123"/>
        <item x="124"/>
        <item x="125"/>
        <item h="1" x="126"/>
        <item x="127"/>
        <item h="1" x="128"/>
        <item h="1" x="129"/>
        <item x="130"/>
        <item x="131"/>
        <item x="132"/>
        <item x="133"/>
        <item x="134"/>
        <item h="1" x="135"/>
        <item h="1" x="136"/>
        <item h="1" x="137"/>
        <item x="138"/>
        <item x="139"/>
        <item h="1" x="140"/>
        <item h="1" x="141"/>
        <item x="142"/>
        <item x="143"/>
        <item h="1" x="144"/>
        <item x="145"/>
        <item h="1" x="146"/>
        <item x="147"/>
        <item h="1" x="148"/>
        <item h="1" x="149"/>
        <item x="150"/>
        <item x="151"/>
        <item x="152"/>
        <item h="1" x="153"/>
        <item x="154"/>
        <item h="1" x="155"/>
        <item x="156"/>
        <item h="1" x="157"/>
        <item x="158"/>
        <item h="1" x="159"/>
        <item h="1" x="160"/>
        <item h="1" x="161"/>
        <item x="162"/>
        <item h="1" x="163"/>
        <item h="1" x="164"/>
        <item x="165"/>
        <item x="166"/>
        <item h="1" x="167"/>
        <item h="1" x="168"/>
        <item h="1" x="169"/>
        <item x="170"/>
        <item x="171"/>
        <item h="1" x="172"/>
        <item h="1" x="173"/>
        <item x="174"/>
        <item h="1" x="175"/>
        <item h="1" x="176"/>
        <item h="1" x="177"/>
        <item x="178"/>
        <item h="1" x="179"/>
        <item h="1" x="180"/>
        <item h="1" x="181"/>
        <item h="1" x="182"/>
        <item h="1" x="183"/>
        <item x="184"/>
        <item h="1" x="185"/>
        <item h="1" x="186"/>
        <item h="1" x="187"/>
        <item x="188"/>
        <item x="189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6"/>
  </rowFields>
  <colFields>
    <field x="-2"/>
  </colFields>
  <pageFields>
    <pageField fld="2"/>
  </pageFields>
  <dataFields>
    <dataField name="SUM of MontoNetoItem" fld="19" baseField="0"/>
    <dataField name="COUNTA of codigoOC" fld="0" subtotal="count" baseField="0"/>
  </dataFields>
</pivotTableDefinition>
</file>

<file path=xl/pivotTables/pivotTable26.xml><?xml version="1.0" encoding="utf-8"?>
<pivotTableDefinition xmlns="http://schemas.openxmlformats.org/spreadsheetml/2006/main" name="semestre1_2024" cacheId="0" dataCaption="" compact="0" compactData="0">
  <location ref="A1:D9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x="16"/>
        <item x="93"/>
        <item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27.xml><?xml version="1.0" encoding="utf-8"?>
<pivotTableDefinition xmlns="http://schemas.openxmlformats.org/spreadsheetml/2006/main" name="semestre1_2024 2" cacheId="0" dataCaption="" compact="0" compactData="0">
  <location ref="F1:I8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x="21"/>
        <item x="55"/>
        <item x="37"/>
        <item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28.xml><?xml version="1.0" encoding="utf-8"?>
<pivotTableDefinition xmlns="http://schemas.openxmlformats.org/spreadsheetml/2006/main" name="semestre1_2024 3" cacheId="0" dataCaption="" compact="0" compactData="0">
  <location ref="K1:N5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x="61"/>
        <item x="110"/>
        <item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29.xml><?xml version="1.0" encoding="utf-8"?>
<pivotTableDefinition xmlns="http://schemas.openxmlformats.org/spreadsheetml/2006/main" name="semestre1_2024 4" cacheId="0" dataCaption="" compact="0" compactData="0">
  <location ref="K6:N17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x="71"/>
        <item x="17"/>
        <item x="5"/>
        <item x="41"/>
        <item x="42"/>
        <item x="113"/>
        <item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0.xml><?xml version="1.0" encoding="utf-8"?>
<pivotTableDefinition xmlns="http://schemas.openxmlformats.org/spreadsheetml/2006/main" name="semestre1_2024 5" cacheId="0" dataCaption="" compact="0" compactData="0">
  <location ref="F9:I20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x="112"/>
        <item x="54"/>
        <item x="75"/>
        <item x="65"/>
        <item x="79"/>
        <item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1.xml><?xml version="1.0" encoding="utf-8"?>
<pivotTableDefinition xmlns="http://schemas.openxmlformats.org/spreadsheetml/2006/main" name="semestre1_2024 6" cacheId="0" dataCaption="" compact="0" compactData="0">
  <location ref="A10:D16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x="81"/>
        <item x="111"/>
        <item x="50"/>
        <item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2.xml><?xml version="1.0" encoding="utf-8"?>
<pivotTableDefinition xmlns="http://schemas.openxmlformats.org/spreadsheetml/2006/main" name="semestre2_2024" cacheId="0" dataCaption="" compact="0" compactData="0">
  <location ref="A1:D19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x="92"/>
        <item x="46"/>
        <item x="87"/>
        <item x="1"/>
        <item x="115"/>
        <item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3.xml><?xml version="1.0" encoding="utf-8"?>
<pivotTableDefinition xmlns="http://schemas.openxmlformats.org/spreadsheetml/2006/main" name="semestre2_2024 2" cacheId="0" dataCaption="" compact="0" compactData="0">
  <location ref="F1:I12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x="76"/>
        <item x="101"/>
        <item x="53"/>
        <item x="116"/>
        <item x="103"/>
        <item x="117"/>
        <item x="49"/>
        <item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4.xml><?xml version="1.0" encoding="utf-8"?>
<pivotTableDefinition xmlns="http://schemas.openxmlformats.org/spreadsheetml/2006/main" name="semestre2_2024 3" cacheId="0" dataCaption="" compact="0" compactData="0">
  <location ref="K1:N12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x="38"/>
        <item x="13"/>
        <item x="67"/>
        <item x="77"/>
        <item x="40"/>
        <item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5.xml><?xml version="1.0" encoding="utf-8"?>
<pivotTableDefinition xmlns="http://schemas.openxmlformats.org/spreadsheetml/2006/main" name="semestre2_2024 4" cacheId="0" dataCaption="" compact="0" compactData="0">
  <location ref="F13:I23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x="6"/>
        <item x="74"/>
        <item x="52"/>
        <item x="105"/>
        <item x="90"/>
        <item x="120"/>
        <item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6.xml><?xml version="1.0" encoding="utf-8"?>
<pivotTableDefinition xmlns="http://schemas.openxmlformats.org/spreadsheetml/2006/main" name="semestre2_2024 5" cacheId="0" dataCaption="" compact="0" compactData="0">
  <location ref="K13:N20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x="2"/>
        <item x="95"/>
        <item x="11"/>
        <item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7.xml><?xml version="1.0" encoding="utf-8"?>
<pivotTableDefinition xmlns="http://schemas.openxmlformats.org/spreadsheetml/2006/main" name="semestre2_2024 6" cacheId="0" dataCaption="" compact="0" compactData="0">
  <location ref="A20:D24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x="94"/>
        <item x="33"/>
        <item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8.xml><?xml version="1.0" encoding="utf-8"?>
<pivotTableDefinition xmlns="http://schemas.openxmlformats.org/spreadsheetml/2006/main" name="semestre1_2025" cacheId="0" dataCaption="" compact="0" compactData="0">
  <location ref="A1:D8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x="58"/>
        <item x="88"/>
        <item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39.xml><?xml version="1.0" encoding="utf-8"?>
<pivotTableDefinition xmlns="http://schemas.openxmlformats.org/spreadsheetml/2006/main" name="semestre1_2025 2" cacheId="0" dataCaption="" compact="0" compactData="0">
  <location ref="E1:H5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x="25"/>
        <item x="96"/>
        <item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40.xml><?xml version="1.0" encoding="utf-8"?>
<pivotTableDefinition xmlns="http://schemas.openxmlformats.org/spreadsheetml/2006/main" name="semestre1_2025 3" cacheId="0" dataCaption="" compact="0" compactData="0">
  <location ref="I1:L8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x="48"/>
        <item x="30"/>
        <item x="78"/>
        <item x="85"/>
        <item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41.xml><?xml version="1.0" encoding="utf-8"?>
<pivotTableDefinition xmlns="http://schemas.openxmlformats.org/spreadsheetml/2006/main" name="semestre1_2025 4" cacheId="0" dataCaption="" compact="0" compactData="0">
  <location ref="E6:H11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x="97"/>
        <item x="104"/>
        <item x="60"/>
        <item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42.xml><?xml version="1.0" encoding="utf-8"?>
<pivotTableDefinition xmlns="http://schemas.openxmlformats.org/spreadsheetml/2006/main" name="semestre1_2025 5" cacheId="0" dataCaption="" compact="0" compactData="0">
  <location ref="A9:C31" firstHeaderRow="0" firstDataRow="2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x="72"/>
        <item x="28"/>
        <item x="91"/>
        <item x="24"/>
        <item x="56"/>
        <item x="68"/>
        <item x="26"/>
        <item x="35"/>
        <item x="83"/>
        <item x="18"/>
        <item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dataFields>
    <dataField name="COUNTA of codigoOC" fld="0" subtotal="count" baseField="0"/>
  </dataFields>
</pivotTableDefinition>
</file>

<file path=xl/pivotTables/pivotTable43.xml><?xml version="1.0" encoding="utf-8"?>
<pivotTableDefinition xmlns="http://schemas.openxmlformats.org/spreadsheetml/2006/main" name="semestre1_2025 6" cacheId="0" dataCaption="" compact="0" compactData="0">
  <location ref="I9:L32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x="62"/>
        <item x="86"/>
        <item x="102"/>
        <item x="3"/>
        <item x="108"/>
        <item x="20"/>
        <item x="70"/>
        <item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  <item t="default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44.xml><?xml version="1.0" encoding="utf-8"?>
<pivotTableDefinition xmlns="http://schemas.openxmlformats.org/spreadsheetml/2006/main" name="semestre2_2025" cacheId="0" dataCaption="" compact="0" compactData="0">
  <location ref="A1:D15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x="109"/>
        <item x="14"/>
        <item x="36"/>
        <item x="4"/>
        <item x="12"/>
        <item x="107"/>
        <item x="59"/>
        <item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45.xml><?xml version="1.0" encoding="utf-8"?>
<pivotTableDefinition xmlns="http://schemas.openxmlformats.org/spreadsheetml/2006/main" name="semestre2_2025 2" cacheId="0" dataCaption="" compact="0" compactData="0">
  <location ref="E1:H5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x="32"/>
        <item x="99"/>
        <item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46.xml><?xml version="1.0" encoding="utf-8"?>
<pivotTableDefinition xmlns="http://schemas.openxmlformats.org/spreadsheetml/2006/main" name="semestre2_2025 3" cacheId="0" dataCaption="" compact="0" compactData="0">
  <location ref="I1:L15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x="44"/>
        <item x="106"/>
        <item x="66"/>
        <item x="9"/>
        <item x="31"/>
        <item x="100"/>
        <item x="47"/>
        <item x="84"/>
        <item h="1" x="0"/>
        <item h="1"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47.xml><?xml version="1.0" encoding="utf-8"?>
<pivotTableDefinition xmlns="http://schemas.openxmlformats.org/spreadsheetml/2006/main" name="semestre2_2025 4" cacheId="0" dataCaption="" compact="0" compactData="0">
  <location ref="E6:H9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x="29"/>
        <item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pivotTables/pivotTable48.xml><?xml version="1.0" encoding="utf-8"?>
<pivotTableDefinition xmlns="http://schemas.openxmlformats.org/spreadsheetml/2006/main" name="semestre2_2025 5" cacheId="0" dataCaption="" compact="0" compactData="0">
  <location ref="A16:C26" firstHeaderRow="0" firstDataRow="2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x="0"/>
        <item x="7"/>
        <item h="1" x="29"/>
        <item h="1" x="22"/>
        <item h="1" x="82"/>
        <item h="1" x="27"/>
        <item h="1"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t="default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2"/>
  </rowFields>
  <dataFields>
    <dataField name="COUNTA of codigoOC" fld="0" subtotal="count" baseField="0"/>
  </dataFields>
</pivotTableDefinition>
</file>

<file path=xl/pivotTables/pivotTable49.xml><?xml version="1.0" encoding="utf-8"?>
<pivotTableDefinition xmlns="http://schemas.openxmlformats.org/spreadsheetml/2006/main" name="semestre2_2025 6" cacheId="0" dataCaption="" compact="0" compactData="0">
  <location ref="I16:L20" firstHeaderRow="0" firstDataRow="3" firstDataCol="0"/>
  <pivotFields>
    <pivotField name="codigoO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FechaEnvioOC" axis="axisRow" compact="0" numFmtId="164" outline="0" multipleItemSelectionAllowed="1" showAll="0" sortType="ascending" defaultSubtotal="0">
      <items>
        <item h="1" x="16"/>
        <item h="1" x="93"/>
        <item h="1" x="63"/>
        <item h="1" x="21"/>
        <item h="1" x="55"/>
        <item h="1" x="37"/>
        <item h="1" x="73"/>
        <item h="1" x="61"/>
        <item h="1" x="110"/>
        <item h="1" x="57"/>
        <item h="1" x="81"/>
        <item h="1" x="111"/>
        <item h="1" x="50"/>
        <item h="1" x="80"/>
        <item h="1" x="112"/>
        <item h="1" x="54"/>
        <item h="1" x="75"/>
        <item h="1" x="65"/>
        <item h="1" x="79"/>
        <item h="1" x="45"/>
        <item h="1" x="71"/>
        <item h="1" x="17"/>
        <item h="1" x="5"/>
        <item h="1" x="41"/>
        <item h="1" x="42"/>
        <item h="1" x="113"/>
        <item h="1" x="89"/>
        <item h="1" x="92"/>
        <item h="1" x="46"/>
        <item h="1" x="87"/>
        <item h="1" x="1"/>
        <item h="1" x="115"/>
        <item h="1" x="15"/>
        <item h="1" x="76"/>
        <item h="1" x="101"/>
        <item h="1" x="53"/>
        <item h="1" x="116"/>
        <item h="1" x="103"/>
        <item h="1" x="117"/>
        <item h="1" x="49"/>
        <item h="1" x="39"/>
        <item h="1" x="38"/>
        <item h="1" x="13"/>
        <item h="1" x="67"/>
        <item h="1" x="77"/>
        <item h="1" x="40"/>
        <item h="1" x="51"/>
        <item h="1" x="94"/>
        <item h="1" x="33"/>
        <item h="1" x="10"/>
        <item h="1" x="6"/>
        <item h="1" x="74"/>
        <item h="1" x="52"/>
        <item h="1" x="105"/>
        <item h="1" x="90"/>
        <item h="1" x="120"/>
        <item h="1" x="43"/>
        <item h="1" x="2"/>
        <item h="1" x="95"/>
        <item h="1" x="11"/>
        <item h="1" x="69"/>
        <item h="1" x="58"/>
        <item h="1" x="88"/>
        <item h="1" x="34"/>
        <item h="1" x="25"/>
        <item h="1" x="96"/>
        <item h="1" x="118"/>
        <item h="1" x="48"/>
        <item h="1" x="30"/>
        <item h="1" x="78"/>
        <item h="1" x="85"/>
        <item h="1" x="8"/>
        <item h="1" x="72"/>
        <item h="1" x="28"/>
        <item h="1" x="91"/>
        <item h="1" x="24"/>
        <item h="1" x="56"/>
        <item h="1" x="68"/>
        <item h="1" x="26"/>
        <item h="1" x="35"/>
        <item h="1" x="83"/>
        <item h="1" x="18"/>
        <item h="1" x="23"/>
        <item h="1" x="97"/>
        <item h="1" x="104"/>
        <item h="1" x="60"/>
        <item h="1" x="114"/>
        <item h="1" x="62"/>
        <item h="1" x="86"/>
        <item h="1" x="102"/>
        <item h="1" x="3"/>
        <item h="1" x="108"/>
        <item h="1" x="20"/>
        <item h="1" x="70"/>
        <item h="1" x="98"/>
        <item h="1" x="109"/>
        <item h="1" x="14"/>
        <item h="1" x="36"/>
        <item h="1" x="4"/>
        <item h="1" x="12"/>
        <item h="1" x="107"/>
        <item h="1" x="59"/>
        <item h="1" x="64"/>
        <item h="1" x="32"/>
        <item h="1" x="99"/>
        <item h="1" x="119"/>
        <item h="1" x="44"/>
        <item h="1" x="106"/>
        <item h="1" x="66"/>
        <item h="1" x="9"/>
        <item h="1" x="31"/>
        <item h="1" x="100"/>
        <item h="1" x="47"/>
        <item h="1" x="84"/>
        <item h="1" x="0"/>
        <item h="1" x="7"/>
        <item h="1" x="29"/>
        <item h="1" x="22"/>
        <item x="82"/>
        <item x="27"/>
        <item x="19"/>
      </items>
    </pivotField>
    <pivotField name="NombreOC" axis="axisRow" compact="0" outline="0" multipleItemSelectionAllowed="1" showAll="0" sortType="ascending">
      <items>
        <item x="72"/>
        <item x="84"/>
        <item x="46"/>
        <item x="66"/>
        <item x="1"/>
        <item x="104"/>
        <item x="120"/>
        <item x="115"/>
        <item x="113"/>
        <item x="100"/>
        <item x="16"/>
        <item x="130"/>
        <item x="150"/>
        <item x="162"/>
        <item x="111"/>
        <item x="163"/>
        <item x="67"/>
        <item x="103"/>
        <item x="38"/>
        <item x="91"/>
        <item x="51"/>
        <item x="64"/>
        <item x="59"/>
        <item x="6"/>
        <item x="37"/>
        <item x="146"/>
        <item x="23"/>
        <item x="25"/>
        <item x="128"/>
        <item x="140"/>
        <item x="20"/>
        <item x="169"/>
        <item x="50"/>
        <item x="172"/>
        <item x="89"/>
        <item x="136"/>
        <item x="129"/>
        <item x="57"/>
        <item x="2"/>
        <item x="49"/>
        <item x="54"/>
        <item x="9"/>
        <item x="7"/>
        <item x="88"/>
        <item x="109"/>
        <item x="107"/>
        <item x="95"/>
        <item x="179"/>
        <item x="161"/>
        <item x="31"/>
        <item x="173"/>
        <item x="96"/>
        <item x="187"/>
        <item x="69"/>
        <item x="155"/>
        <item x="180"/>
        <item x="186"/>
        <item x="177"/>
        <item x="47"/>
        <item x="106"/>
        <item x="144"/>
        <item x="34"/>
        <item x="118"/>
        <item x="55"/>
        <item x="182"/>
        <item x="79"/>
        <item x="138"/>
        <item x="142"/>
        <item x="119"/>
        <item x="105"/>
        <item x="40"/>
        <item x="170"/>
        <item x="156"/>
        <item x="93"/>
        <item x="171"/>
        <item x="151"/>
        <item x="108"/>
        <item x="147"/>
        <item x="133"/>
        <item x="152"/>
        <item x="174"/>
        <item x="189"/>
        <item x="143"/>
        <item x="74"/>
        <item x="160"/>
        <item x="168"/>
        <item x="181"/>
        <item x="117"/>
        <item x="101"/>
        <item x="175"/>
        <item x="36"/>
        <item x="176"/>
        <item x="102"/>
        <item x="164"/>
        <item x="73"/>
        <item x="65"/>
        <item x="86"/>
        <item x="30"/>
        <item x="4"/>
        <item x="22"/>
        <item x="10"/>
        <item x="85"/>
        <item x="167"/>
        <item x="56"/>
        <item x="110"/>
        <item x="98"/>
        <item x="63"/>
        <item x="183"/>
        <item x="3"/>
        <item x="135"/>
        <item x="62"/>
        <item x="159"/>
        <item x="123"/>
        <item x="33"/>
        <item x="90"/>
        <item x="18"/>
        <item x="26"/>
        <item x="122"/>
        <item x="19"/>
        <item x="80"/>
        <item x="148"/>
        <item x="29"/>
        <item x="28"/>
        <item x="139"/>
        <item x="11"/>
        <item x="178"/>
        <item x="165"/>
        <item x="114"/>
        <item x="131"/>
        <item x="87"/>
        <item x="166"/>
        <item x="43"/>
        <item x="154"/>
        <item x="15"/>
        <item x="83"/>
        <item x="27"/>
        <item x="35"/>
        <item x="124"/>
        <item x="58"/>
        <item x="134"/>
        <item x="145"/>
        <item x="158"/>
        <item x="112"/>
        <item x="8"/>
        <item x="132"/>
        <item x="78"/>
        <item x="125"/>
        <item x="188"/>
        <item x="127"/>
        <item x="184"/>
        <item x="53"/>
        <item x="12"/>
        <item x="76"/>
        <item x="45"/>
        <item x="137"/>
        <item x="149"/>
        <item x="68"/>
        <item x="32"/>
        <item x="61"/>
        <item x="92"/>
        <item x="39"/>
        <item x="48"/>
        <item x="5"/>
        <item x="60"/>
        <item x="13"/>
        <item x="52"/>
        <item x="75"/>
        <item x="24"/>
        <item x="41"/>
        <item x="70"/>
        <item x="121"/>
        <item x="116"/>
        <item x="141"/>
        <item x="97"/>
        <item x="126"/>
        <item x="81"/>
        <item x="14"/>
        <item x="77"/>
        <item x="42"/>
        <item x="99"/>
        <item x="71"/>
        <item x="157"/>
        <item x="153"/>
        <item x="44"/>
        <item x="17"/>
        <item x="185"/>
        <item x="82"/>
        <item x="21"/>
        <item x="94"/>
        <item x="0"/>
        <item t="default"/>
      </items>
    </pivotField>
    <pivotField name="DescripcionO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name="MontoNetoOC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DescuentosOC" compact="0" numFmtId="166" outline="0" multipleItemSelectionAllowed="1" showAll="0">
      <items>
        <item x="0"/>
        <item t="default"/>
      </items>
    </pivotField>
    <pivotField name="CargosOC" compact="0" numFmtId="166" outline="0" multipleItemSelectionAllowed="1" showAll="0">
      <items>
        <item x="0"/>
        <item x="1"/>
        <item x="2"/>
        <item x="3"/>
        <item t="default"/>
      </items>
    </pivotField>
    <pivotField name="Impuestos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MontoTotalOC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UnidadCompra" compact="0" outline="0" multipleItemSelectionAllowed="1" showAll="0">
      <items>
        <item x="0"/>
        <item x="1"/>
        <item t="default"/>
      </items>
    </pivotField>
    <pivotField name="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ProveedorRU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ActividadProvee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TamanoProveed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onProveedor" compact="0" outline="0" multipleItemSelectionAllowed="1" showAll="0">
      <items>
        <item x="0"/>
        <item x="1"/>
        <item x="2"/>
        <item x="3"/>
        <item t="default"/>
      </items>
    </pivotField>
    <pivotField name="CodigoProduct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DescripcionItem" axis="axisRow" compact="0" outline="0" multipleItemSelectionAllowed="1" showAll="0" sortType="ascending" defaultSubtotal="0">
      <items>
        <item x="88"/>
        <item x="90"/>
        <item x="18"/>
        <item x="45"/>
        <item x="91"/>
        <item x="33"/>
        <item x="56"/>
        <item x="119"/>
        <item x="16"/>
        <item x="19"/>
        <item x="107"/>
        <item x="31"/>
        <item x="32"/>
        <item x="153"/>
        <item x="158"/>
        <item x="151"/>
        <item x="150"/>
        <item x="27"/>
        <item x="0"/>
        <item x="66"/>
        <item x="25"/>
        <item x="28"/>
        <item x="38"/>
        <item x="39"/>
        <item x="144"/>
        <item x="132"/>
        <item x="24"/>
        <item x="30"/>
        <item x="4"/>
        <item x="156"/>
        <item x="154"/>
        <item x="127"/>
        <item x="44"/>
        <item x="22"/>
        <item x="104"/>
        <item x="82"/>
        <item x="140"/>
        <item x="147"/>
        <item x="111"/>
        <item x="120"/>
        <item x="87"/>
        <item x="52"/>
        <item x="58"/>
        <item x="41"/>
        <item x="36"/>
        <item x="34"/>
        <item x="116"/>
        <item x="2"/>
        <item x="15"/>
        <item x="21"/>
        <item x="143"/>
        <item x="141"/>
        <item x="86"/>
        <item x="64"/>
        <item x="65"/>
        <item x="78"/>
        <item x="101"/>
        <item x="146"/>
        <item x="103"/>
        <item x="124"/>
        <item x="68"/>
        <item x="110"/>
        <item x="43"/>
        <item x="63"/>
        <item x="60"/>
        <item x="99"/>
        <item x="115"/>
        <item x="159"/>
        <item x="54"/>
        <item x="6"/>
        <item x="13"/>
        <item x="81"/>
        <item x="62"/>
        <item x="59"/>
        <item x="8"/>
        <item x="108"/>
        <item x="98"/>
        <item x="3"/>
        <item x="26"/>
        <item x="160"/>
        <item x="97"/>
        <item x="93"/>
        <item x="74"/>
        <item x="73"/>
        <item x="72"/>
        <item x="40"/>
        <item x="51"/>
        <item x="29"/>
        <item x="20"/>
        <item x="42"/>
        <item x="23"/>
        <item x="139"/>
        <item x="83"/>
        <item x="69"/>
        <item x="138"/>
        <item x="80"/>
        <item x="77"/>
        <item x="129"/>
        <item x="47"/>
        <item x="112"/>
        <item x="152"/>
        <item x="106"/>
        <item x="102"/>
        <item x="96"/>
        <item x="100"/>
        <item x="94"/>
        <item x="14"/>
        <item x="11"/>
        <item x="10"/>
        <item x="46"/>
        <item x="67"/>
        <item x="70"/>
        <item x="48"/>
        <item x="71"/>
        <item x="79"/>
        <item x="118"/>
        <item x="128"/>
        <item x="137"/>
        <item x="12"/>
        <item x="125"/>
        <item x="109"/>
        <item x="134"/>
        <item x="136"/>
        <item x="135"/>
        <item x="131"/>
        <item x="35"/>
        <item x="114"/>
        <item x="37"/>
        <item x="148"/>
        <item x="123"/>
        <item x="142"/>
        <item x="117"/>
        <item x="157"/>
        <item x="49"/>
        <item x="17"/>
        <item x="1"/>
        <item x="7"/>
        <item x="5"/>
        <item x="126"/>
        <item x="113"/>
        <item x="9"/>
        <item x="105"/>
        <item x="75"/>
        <item x="84"/>
        <item x="76"/>
        <item x="57"/>
        <item x="130"/>
        <item x="145"/>
        <item x="50"/>
        <item x="92"/>
        <item x="95"/>
        <item x="149"/>
        <item x="85"/>
        <item x="61"/>
        <item x="89"/>
        <item x="121"/>
        <item x="122"/>
        <item x="53"/>
        <item x="55"/>
        <item x="133"/>
        <item x="155"/>
      </items>
    </pivotField>
    <pivotField name="CantidadItem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name="UnidadMedi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toNetoItem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t="default"/>
      </items>
    </pivotField>
    <pivotField name="MontoTotalItem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name="Codigo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scripcion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name="CodigoProductoCotizadoON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RUTProveedor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etalleCotiza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</pivotFields>
  <rowFields>
    <field x="1"/>
    <field x="16"/>
    <field x="2"/>
  </rowFields>
  <dataFields>
    <dataField name="COUNTA of codigoOC" fld="0" subtotal="count" baseField="0"/>
  </dataFields>
</pivotTableDefinition>
</file>

<file path=xl/tables/table1.xml><?xml version="1.0" encoding="utf-8"?>
<table xmlns="http://schemas.openxmlformats.org/spreadsheetml/2006/main" ref="L8:P10" displayName="Tabla_2" name="Tabla_2" id="1">
  <tableColumns count="5">
    <tableColumn name="Total sin CENABAST" id="1"/>
    <tableColumn name="Total sin farmacia ambulatoria" id="2"/>
    <tableColumn name="Total stock critico + CENABAST" id="3"/>
    <tableColumn name="Total dosis unitaria + comite farmacia" id="4"/>
    <tableColumn name="Total farmacia ambulatoria" id="5"/>
  </tableColumns>
  <tableStyleInfo name="CALCULOS TABLA-style" showColumnStripes="0" showFirstColumn="1" showLastColumn="1" showRowStripes="1"/>
</table>
</file>

<file path=xl/tables/table2.xml><?xml version="1.0" encoding="utf-8"?>
<table xmlns="http://schemas.openxmlformats.org/spreadsheetml/2006/main" ref="A9:I16" displayName="Tabla_1" name="Tabla_1" id="2">
  <tableColumns count="9">
    <tableColumn name="Columna 1" id="1"/>
    <tableColumn name="Total stock critico" id="2"/>
    <tableColumn name="Total CENABAST" id="3"/>
    <tableColumn name="Total dosis unitaria" id="4"/>
    <tableColumn name="Total farmacia ambulatoria" id="5"/>
    <tableColumn name="Total comité farmacia" id="6"/>
    <tableColumn name="Total controlados" id="7"/>
    <tableColumn name="Total otros sin clasificar" id="8"/>
    <tableColumn name="Total ordenes" id="9"/>
  </tableColumns>
  <tableStyleInfo name="CALCULOS TABLA-style 2" showColumnStripes="0" showFirstColumn="1" showLastColumn="1" showRowStripes="1"/>
</table>
</file>

<file path=xl/tables/table3.xml><?xml version="1.0" encoding="utf-8"?>
<table xmlns="http://schemas.openxmlformats.org/spreadsheetml/2006/main" ref="A70:I77" displayName="Tabla_3" name="Tabla_3" id="3">
  <tableColumns count="9">
    <tableColumn name="Periodo 2024-2025" id="1"/>
    <tableColumn name="Total stock critico" id="2"/>
    <tableColumn name="Total CENABAST" id="3"/>
    <tableColumn name="Total dosis unitaria" id="4"/>
    <tableColumn name="Total farmacia ambulatoria" id="5"/>
    <tableColumn name="Total comité farmacia" id="6"/>
    <tableColumn name="Total controlados" id="7"/>
    <tableColumn name="Total otros sin clasificar" id="8"/>
    <tableColumn name="Total ordenes" id="9"/>
  </tableColumns>
  <tableStyleInfo name="CALCULOS TABLA-style 3" showColumnStripes="0" showFirstColumn="1" showLastColumn="1" showRowStripes="1"/>
</table>
</file>

<file path=xl/tables/table4.xml><?xml version="1.0" encoding="utf-8"?>
<table xmlns="http://schemas.openxmlformats.org/spreadsheetml/2006/main" ref="A79:I86" displayName="Tabla_4" name="Tabla_4" id="4">
  <tableColumns count="9">
    <tableColumn name="2024" id="1"/>
    <tableColumn name="Total stock critico" id="2"/>
    <tableColumn name="Total CENABAST" id="3"/>
    <tableColumn name="Total dosis unitaria" id="4"/>
    <tableColumn name="Total farmacia ambulatoria" id="5"/>
    <tableColumn name="Total comité farmacia" id="6"/>
    <tableColumn name="Total controlados" id="7"/>
    <tableColumn name="Total otros sin clasificar" id="8"/>
    <tableColumn name="Total ordenes" id="9"/>
  </tableColumns>
  <tableStyleInfo name="CALCULOS TABLA-style 4" showColumnStripes="0" showFirstColumn="1" showLastColumn="1" showRowStripes="1"/>
</table>
</file>

<file path=xl/tables/table5.xml><?xml version="1.0" encoding="utf-8"?>
<table xmlns="http://schemas.openxmlformats.org/spreadsheetml/2006/main" ref="A88:I95" displayName="Tabla_5" name="Tabla_5" id="5">
  <tableColumns count="9">
    <tableColumn name="2025" id="1"/>
    <tableColumn name="Total stock critico" id="2"/>
    <tableColumn name="Total CENABAST" id="3"/>
    <tableColumn name="Total dosis unitaria" id="4"/>
    <tableColumn name="Total farmacia ambulatoria" id="5"/>
    <tableColumn name="Total comité farmacia" id="6"/>
    <tableColumn name="Total controlados" id="7"/>
    <tableColumn name="Total otros sin clasificar" id="8"/>
    <tableColumn name="Total ordenes" id="9"/>
  </tableColumns>
  <tableStyleInfo name="CALCULOS TABLA-style 5" showColumnStripes="0" showFirstColumn="1" showLastColumn="1" showRowStripes="1"/>
</table>
</file>

<file path=xl/tables/table6.xml><?xml version="1.0" encoding="utf-8"?>
<table xmlns="http://schemas.openxmlformats.org/spreadsheetml/2006/main" ref="A97:H98" displayName="Tabla_8" name="Tabla_8" id="6">
  <tableColumns count="8">
    <tableColumn name="Valor total" id="1"/>
    <tableColumn name="Stock critico" id="2"/>
    <tableColumn name="CENABAST" id="3"/>
    <tableColumn name="dosis unitaria" id="4"/>
    <tableColumn name="farmacia ambulatoria" id="5"/>
    <tableColumn name="comite farmacia" id="6"/>
    <tableColumn name="controlados" id="7"/>
    <tableColumn name="otros sin clasificar" id="8"/>
  </tableColumns>
  <tableStyleInfo name="CALCULOS TABLA-style 6" showColumnStripes="0" showFirstColumn="1" showLastColumn="1" showRowStripes="1"/>
</table>
</file>

<file path=xl/tables/table7.xml><?xml version="1.0" encoding="utf-8"?>
<table xmlns="http://schemas.openxmlformats.org/spreadsheetml/2006/main" ref="A6:N10" displayName="Tabla_6" name="Tabla_6" id="7">
  <tableColumns count="14">
    <tableColumn name="Resumen 2024" id="1"/>
    <tableColumn name="Columna 1" id="2"/>
    <tableColumn name="Columna 2" id="3"/>
    <tableColumn name="Columna 3" id="4"/>
    <tableColumn name="Columna 4" id="5"/>
    <tableColumn name="Columna 5" id="6"/>
    <tableColumn name="Columna 6" id="7"/>
    <tableColumn name="Columna 7" id="8"/>
    <tableColumn name="Columna 8" id="9"/>
    <tableColumn name="Columna 9" id="10"/>
    <tableColumn name="Columna 10" id="11"/>
    <tableColumn name="Columna 11" id="12"/>
    <tableColumn name="Columna 12" id="13"/>
    <tableColumn name="Columna 13" id="14"/>
  </tableColumns>
  <tableStyleInfo name="resumen OC-style" showColumnStripes="0" showFirstColumn="1" showLastColumn="1" showRowStripes="1"/>
</table>
</file>

<file path=xl/tables/table8.xml><?xml version="1.0" encoding="utf-8"?>
<table xmlns="http://schemas.openxmlformats.org/spreadsheetml/2006/main" ref="A13:N17" displayName="Tabla_7" name="Tabla_7" id="8">
  <tableColumns count="14">
    <tableColumn name="Resumen 2025" id="1"/>
    <tableColumn name="Columna 1" id="2"/>
    <tableColumn name="Columna 2" id="3"/>
    <tableColumn name="Columna 3" id="4"/>
    <tableColumn name="Columna 4" id="5"/>
    <tableColumn name="Columna 5" id="6"/>
    <tableColumn name="Columna 6" id="7"/>
    <tableColumn name="Columna 7" id="8"/>
    <tableColumn name="Columna 8" id="9"/>
    <tableColumn name="Columna 9" id="10"/>
    <tableColumn name="Columna 10" id="11"/>
    <tableColumn name="Columna 11" id="12"/>
    <tableColumn name="Columna 12" id="13"/>
    <tableColumn name="Columna 13" id="14"/>
  </tableColumns>
  <tableStyleInfo name="resumen O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pivotTable" Target="../pivotTables/pivotTable8.xml"/><Relationship Id="rId8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pivotTable" Target="../pivotTables/pivotTable10.xml"/><Relationship Id="rId3" Type="http://schemas.openxmlformats.org/officeDocument/2006/relationships/pivotTable" Target="../pivotTables/pivotTable11.xml"/><Relationship Id="rId4" Type="http://schemas.openxmlformats.org/officeDocument/2006/relationships/pivotTable" Target="../pivotTables/pivotTable12.xml"/><Relationship Id="rId5" Type="http://schemas.openxmlformats.org/officeDocument/2006/relationships/pivotTable" Target="../pivotTables/pivotTable13.xml"/><Relationship Id="rId6" Type="http://schemas.openxmlformats.org/officeDocument/2006/relationships/pivotTable" Target="../pivotTables/pivotTable14.xml"/><Relationship Id="rId7" Type="http://schemas.openxmlformats.org/officeDocument/2006/relationships/pivotTable" Target="../pivotTables/pivotTable15.xm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pivotTable" Target="../pivotTables/pivotTable17.xml"/><Relationship Id="rId3" Type="http://schemas.openxmlformats.org/officeDocument/2006/relationships/pivotTable" Target="../pivotTables/pivotTable18.xml"/><Relationship Id="rId4" Type="http://schemas.openxmlformats.org/officeDocument/2006/relationships/pivotTable" Target="../pivotTables/pivotTable19.xml"/><Relationship Id="rId5" Type="http://schemas.openxmlformats.org/officeDocument/2006/relationships/pivotTable" Target="../pivotTables/pivotTable20.xml"/><Relationship Id="rId6" Type="http://schemas.openxmlformats.org/officeDocument/2006/relationships/pivotTable" Target="../pivotTables/pivotTable21.xml"/><Relationship Id="rId7" Type="http://schemas.openxmlformats.org/officeDocument/2006/relationships/pivotTable" Target="../pivotTables/pivotTable22.xm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3.xml"/><Relationship Id="rId2" Type="http://schemas.openxmlformats.org/officeDocument/2006/relationships/pivotTable" Target="../pivotTables/pivotTable24.xml"/><Relationship Id="rId3" Type="http://schemas.openxmlformats.org/officeDocument/2006/relationships/pivotTable" Target="../pivotTables/pivotTable25.xm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pivotTable" Target="../pivotTables/pivotTable27.xml"/><Relationship Id="rId3" Type="http://schemas.openxmlformats.org/officeDocument/2006/relationships/pivotTable" Target="../pivotTables/pivotTable28.xml"/><Relationship Id="rId4" Type="http://schemas.openxmlformats.org/officeDocument/2006/relationships/pivotTable" Target="../pivotTables/pivotTable29.xml"/><Relationship Id="rId5" Type="http://schemas.openxmlformats.org/officeDocument/2006/relationships/pivotTable" Target="../pivotTables/pivotTable30.xml"/><Relationship Id="rId6" Type="http://schemas.openxmlformats.org/officeDocument/2006/relationships/pivotTable" Target="../pivotTables/pivotTable31.xm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2.xml"/><Relationship Id="rId2" Type="http://schemas.openxmlformats.org/officeDocument/2006/relationships/pivotTable" Target="../pivotTables/pivotTable33.xml"/><Relationship Id="rId3" Type="http://schemas.openxmlformats.org/officeDocument/2006/relationships/pivotTable" Target="../pivotTables/pivotTable34.xml"/><Relationship Id="rId4" Type="http://schemas.openxmlformats.org/officeDocument/2006/relationships/pivotTable" Target="../pivotTables/pivotTable35.xml"/><Relationship Id="rId5" Type="http://schemas.openxmlformats.org/officeDocument/2006/relationships/pivotTable" Target="../pivotTables/pivotTable36.xml"/><Relationship Id="rId6" Type="http://schemas.openxmlformats.org/officeDocument/2006/relationships/pivotTable" Target="../pivotTables/pivotTable37.xm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8.xml"/><Relationship Id="rId2" Type="http://schemas.openxmlformats.org/officeDocument/2006/relationships/pivotTable" Target="../pivotTables/pivotTable39.xml"/><Relationship Id="rId3" Type="http://schemas.openxmlformats.org/officeDocument/2006/relationships/pivotTable" Target="../pivotTables/pivotTable40.xml"/><Relationship Id="rId4" Type="http://schemas.openxmlformats.org/officeDocument/2006/relationships/pivotTable" Target="../pivotTables/pivotTable41.xml"/><Relationship Id="rId5" Type="http://schemas.openxmlformats.org/officeDocument/2006/relationships/pivotTable" Target="../pivotTables/pivotTable42.xml"/><Relationship Id="rId6" Type="http://schemas.openxmlformats.org/officeDocument/2006/relationships/pivotTable" Target="../pivotTables/pivotTable43.xm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4.xml"/><Relationship Id="rId2" Type="http://schemas.openxmlformats.org/officeDocument/2006/relationships/pivotTable" Target="../pivotTables/pivotTable45.xml"/><Relationship Id="rId3" Type="http://schemas.openxmlformats.org/officeDocument/2006/relationships/pivotTable" Target="../pivotTables/pivotTable46.xml"/><Relationship Id="rId4" Type="http://schemas.openxmlformats.org/officeDocument/2006/relationships/pivotTable" Target="../pivotTables/pivotTable47.xml"/><Relationship Id="rId5" Type="http://schemas.openxmlformats.org/officeDocument/2006/relationships/pivotTable" Target="../pivotTables/pivotTable48.xml"/><Relationship Id="rId6" Type="http://schemas.openxmlformats.org/officeDocument/2006/relationships/pivotTable" Target="../pivotTables/pivotTable49.xm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3" max="3" width="128.75"/>
    <col customWidth="1" min="4" max="4" width="302.13"/>
    <col customWidth="1" min="5" max="5" width="14.75"/>
    <col customWidth="1" min="6" max="6" width="15.5"/>
    <col customWidth="1" min="7" max="7" width="11.75"/>
    <col customWidth="1" min="8" max="8" width="14.38"/>
    <col customWidth="1" min="9" max="9" width="14.88"/>
    <col customWidth="1" min="10" max="10" width="19.75"/>
    <col customWidth="1" min="11" max="11" width="36.75"/>
    <col customWidth="1" min="13" max="13" width="42.0"/>
    <col customWidth="1" min="14" max="14" width="31.38"/>
    <col customWidth="1" min="15" max="15" width="38.5"/>
    <col customWidth="1" min="16" max="16" width="16.63"/>
    <col customWidth="1" min="17" max="17" width="47.5"/>
    <col customWidth="1" min="18" max="18" width="14.0"/>
    <col customWidth="1" min="19" max="19" width="25.75"/>
    <col customWidth="1" min="20" max="20" width="15.63"/>
    <col customWidth="1" min="21" max="21" width="15.75"/>
    <col customWidth="1" min="22" max="22" width="17.63"/>
    <col customWidth="1" min="23" max="23" width="255.25"/>
    <col customWidth="1" min="26" max="26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2" t="s">
        <v>26</v>
      </c>
      <c r="B2" s="3">
        <v>45934.0</v>
      </c>
      <c r="C2" s="2" t="s">
        <v>27</v>
      </c>
      <c r="D2" s="2" t="s">
        <v>28</v>
      </c>
      <c r="E2" s="4">
        <v>3189516.0</v>
      </c>
      <c r="F2" s="5">
        <v>0.0</v>
      </c>
      <c r="G2" s="5">
        <v>0.0</v>
      </c>
      <c r="H2" s="5">
        <v>606008.04</v>
      </c>
      <c r="I2" s="5">
        <v>3795524.04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>
        <v>8.5121902E7</v>
      </c>
      <c r="Q2" s="2" t="s">
        <v>35</v>
      </c>
      <c r="R2" s="6">
        <v>2.0</v>
      </c>
      <c r="S2" s="2" t="s">
        <v>36</v>
      </c>
      <c r="T2" s="7">
        <v>1594758.0</v>
      </c>
      <c r="U2" s="5">
        <v>3189516.0</v>
      </c>
      <c r="V2" s="2" t="s">
        <v>37</v>
      </c>
      <c r="W2" s="2" t="s">
        <v>38</v>
      </c>
      <c r="X2" s="2">
        <v>8.5121902E7</v>
      </c>
      <c r="Y2" s="2" t="s">
        <v>31</v>
      </c>
      <c r="Z2" s="2" t="s">
        <v>39</v>
      </c>
    </row>
    <row r="3">
      <c r="A3" s="2" t="s">
        <v>40</v>
      </c>
      <c r="B3" s="3">
        <v>45495.0</v>
      </c>
      <c r="C3" s="2" t="s">
        <v>41</v>
      </c>
      <c r="D3" s="2" t="s">
        <v>42</v>
      </c>
      <c r="E3" s="4">
        <v>1518000.0</v>
      </c>
      <c r="F3" s="5">
        <v>0.0</v>
      </c>
      <c r="G3" s="5">
        <v>0.0</v>
      </c>
      <c r="H3" s="5">
        <v>288420.0</v>
      </c>
      <c r="I3" s="5">
        <v>1806420.0</v>
      </c>
      <c r="J3" s="2" t="s">
        <v>29</v>
      </c>
      <c r="K3" s="2" t="s">
        <v>43</v>
      </c>
      <c r="L3" s="2" t="s">
        <v>44</v>
      </c>
      <c r="M3" s="2" t="s">
        <v>45</v>
      </c>
      <c r="N3" s="8" t="s">
        <v>33</v>
      </c>
      <c r="O3" s="2" t="s">
        <v>34</v>
      </c>
      <c r="P3" s="2">
        <v>8.5121902E7</v>
      </c>
      <c r="Q3" s="2" t="s">
        <v>46</v>
      </c>
      <c r="R3" s="6">
        <v>3.0</v>
      </c>
      <c r="S3" s="2" t="s">
        <v>47</v>
      </c>
      <c r="T3" s="7">
        <v>506000.0</v>
      </c>
      <c r="U3" s="5">
        <v>1518000.0</v>
      </c>
      <c r="V3" s="2" t="s">
        <v>48</v>
      </c>
      <c r="W3" s="2" t="s">
        <v>49</v>
      </c>
      <c r="X3" s="2">
        <v>8.5121902E7</v>
      </c>
      <c r="Y3" s="2" t="s">
        <v>44</v>
      </c>
      <c r="Z3" s="2" t="s">
        <v>50</v>
      </c>
    </row>
    <row r="4">
      <c r="A4" s="2" t="s">
        <v>51</v>
      </c>
      <c r="B4" s="3">
        <v>45627.0</v>
      </c>
      <c r="C4" s="9" t="s">
        <v>52</v>
      </c>
      <c r="D4" s="2" t="s">
        <v>53</v>
      </c>
      <c r="E4" s="4">
        <v>1518000.0</v>
      </c>
      <c r="F4" s="5">
        <v>0.0</v>
      </c>
      <c r="G4" s="5">
        <v>0.0</v>
      </c>
      <c r="H4" s="5">
        <v>288420.0</v>
      </c>
      <c r="I4" s="5">
        <v>1806420.0</v>
      </c>
      <c r="J4" s="2" t="s">
        <v>29</v>
      </c>
      <c r="K4" s="2" t="s">
        <v>43</v>
      </c>
      <c r="L4" s="2" t="s">
        <v>44</v>
      </c>
      <c r="M4" s="2" t="s">
        <v>45</v>
      </c>
      <c r="N4" s="2" t="s">
        <v>33</v>
      </c>
      <c r="O4" s="2" t="s">
        <v>34</v>
      </c>
      <c r="P4" s="2">
        <v>5.1191905E7</v>
      </c>
      <c r="Q4" s="9" t="s">
        <v>46</v>
      </c>
      <c r="R4" s="6">
        <v>3.0</v>
      </c>
      <c r="S4" s="2" t="s">
        <v>47</v>
      </c>
      <c r="T4" s="7">
        <v>506000.0</v>
      </c>
      <c r="U4" s="5">
        <v>1518000.0</v>
      </c>
      <c r="V4" s="2" t="s">
        <v>54</v>
      </c>
      <c r="W4" s="2" t="s">
        <v>55</v>
      </c>
      <c r="X4" s="2">
        <v>5.1191905E7</v>
      </c>
      <c r="Y4" s="2" t="s">
        <v>44</v>
      </c>
      <c r="Z4" s="2" t="s">
        <v>56</v>
      </c>
    </row>
    <row r="5">
      <c r="A5" s="2" t="s">
        <v>57</v>
      </c>
      <c r="B5" s="3">
        <v>45825.0</v>
      </c>
      <c r="C5" s="2" t="s">
        <v>58</v>
      </c>
      <c r="D5" s="2" t="s">
        <v>59</v>
      </c>
      <c r="E5" s="4">
        <v>564448.0</v>
      </c>
      <c r="F5" s="5">
        <v>0.0</v>
      </c>
      <c r="G5" s="5">
        <v>0.0</v>
      </c>
      <c r="H5" s="5">
        <v>107245.12</v>
      </c>
      <c r="I5" s="5">
        <v>671693.12</v>
      </c>
      <c r="J5" s="2" t="s">
        <v>29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34</v>
      </c>
      <c r="P5" s="2">
        <v>8.5121902E7</v>
      </c>
      <c r="Q5" s="2" t="s">
        <v>64</v>
      </c>
      <c r="R5" s="6">
        <v>2.0</v>
      </c>
      <c r="S5" s="2" t="s">
        <v>47</v>
      </c>
      <c r="T5" s="7">
        <v>282224.0</v>
      </c>
      <c r="U5" s="5">
        <v>564448.0</v>
      </c>
      <c r="V5" s="2" t="s">
        <v>65</v>
      </c>
      <c r="W5" s="2" t="s">
        <v>66</v>
      </c>
      <c r="X5" s="2">
        <v>8.5121902E7</v>
      </c>
      <c r="Y5" s="2" t="s">
        <v>61</v>
      </c>
      <c r="Z5" s="2" t="s">
        <v>67</v>
      </c>
    </row>
    <row r="6">
      <c r="A6" s="2" t="s">
        <v>68</v>
      </c>
      <c r="B6" s="3">
        <v>45859.0</v>
      </c>
      <c r="C6" s="2" t="s">
        <v>69</v>
      </c>
      <c r="D6" s="2" t="s">
        <v>70</v>
      </c>
      <c r="E6" s="4">
        <v>1128896.0</v>
      </c>
      <c r="F6" s="5">
        <v>0.0</v>
      </c>
      <c r="G6" s="5">
        <v>0.0</v>
      </c>
      <c r="H6" s="5">
        <v>214490.24</v>
      </c>
      <c r="I6" s="5">
        <v>1343386.24</v>
      </c>
      <c r="J6" s="2" t="s">
        <v>29</v>
      </c>
      <c r="K6" s="2" t="s">
        <v>60</v>
      </c>
      <c r="L6" s="2" t="s">
        <v>61</v>
      </c>
      <c r="M6" s="2" t="s">
        <v>62</v>
      </c>
      <c r="N6" s="2" t="s">
        <v>63</v>
      </c>
      <c r="O6" s="2" t="s">
        <v>34</v>
      </c>
      <c r="P6" s="2">
        <v>8.5121902E7</v>
      </c>
      <c r="Q6" s="2" t="s">
        <v>64</v>
      </c>
      <c r="R6" s="10">
        <v>4.0</v>
      </c>
      <c r="S6" s="2" t="s">
        <v>36</v>
      </c>
      <c r="T6" s="7">
        <v>282224.0</v>
      </c>
      <c r="U6" s="5">
        <v>1128896.0</v>
      </c>
      <c r="V6" s="2" t="s">
        <v>71</v>
      </c>
      <c r="W6" s="2" t="s">
        <v>72</v>
      </c>
      <c r="X6" s="2">
        <v>8.5121902E7</v>
      </c>
      <c r="Y6" s="2" t="s">
        <v>61</v>
      </c>
      <c r="Z6" s="2" t="s">
        <v>67</v>
      </c>
    </row>
    <row r="7">
      <c r="A7" s="2" t="s">
        <v>73</v>
      </c>
      <c r="B7" s="3">
        <v>45462.0</v>
      </c>
      <c r="C7" s="2" t="s">
        <v>74</v>
      </c>
      <c r="D7" s="2" t="s">
        <v>75</v>
      </c>
      <c r="E7" s="4">
        <v>1580000.0</v>
      </c>
      <c r="F7" s="5">
        <v>0.0</v>
      </c>
      <c r="G7" s="5">
        <v>0.0</v>
      </c>
      <c r="H7" s="5">
        <v>300200.0</v>
      </c>
      <c r="I7" s="5">
        <v>1880200.0</v>
      </c>
      <c r="J7" s="2" t="s">
        <v>29</v>
      </c>
      <c r="K7" s="2" t="s">
        <v>76</v>
      </c>
      <c r="L7" s="2" t="s">
        <v>77</v>
      </c>
      <c r="M7" s="2" t="s">
        <v>78</v>
      </c>
      <c r="N7" s="2" t="s">
        <v>63</v>
      </c>
      <c r="O7" s="2" t="s">
        <v>34</v>
      </c>
      <c r="P7" s="2">
        <v>5.1142106E7</v>
      </c>
      <c r="Q7" s="2" t="s">
        <v>79</v>
      </c>
      <c r="R7" s="6">
        <v>8.0</v>
      </c>
      <c r="S7" s="2" t="s">
        <v>80</v>
      </c>
      <c r="T7" s="7">
        <v>197500.0</v>
      </c>
      <c r="U7" s="5">
        <v>1580000.0</v>
      </c>
      <c r="V7" s="2" t="s">
        <v>81</v>
      </c>
      <c r="W7" s="2" t="s">
        <v>82</v>
      </c>
      <c r="X7" s="2">
        <v>5.1142106E7</v>
      </c>
      <c r="Y7" s="2" t="s">
        <v>77</v>
      </c>
      <c r="Z7" s="2" t="s">
        <v>83</v>
      </c>
    </row>
    <row r="8">
      <c r="A8" s="2" t="s">
        <v>84</v>
      </c>
      <c r="B8" s="3">
        <v>45600.0</v>
      </c>
      <c r="C8" s="2" t="s">
        <v>85</v>
      </c>
      <c r="D8" s="2" t="s">
        <v>86</v>
      </c>
      <c r="E8" s="4">
        <v>141500.0</v>
      </c>
      <c r="F8" s="5">
        <v>0.0</v>
      </c>
      <c r="G8" s="5">
        <v>0.0</v>
      </c>
      <c r="H8" s="5">
        <v>26885.0</v>
      </c>
      <c r="I8" s="5">
        <v>168385.0</v>
      </c>
      <c r="J8" s="2" t="s">
        <v>29</v>
      </c>
      <c r="K8" s="2" t="s">
        <v>87</v>
      </c>
      <c r="L8" s="2" t="s">
        <v>88</v>
      </c>
      <c r="M8" s="2" t="s">
        <v>89</v>
      </c>
      <c r="N8" s="2" t="s">
        <v>33</v>
      </c>
      <c r="O8" s="2" t="s">
        <v>34</v>
      </c>
      <c r="P8" s="2">
        <v>5.1131514E7</v>
      </c>
      <c r="Q8" s="2" t="s">
        <v>90</v>
      </c>
      <c r="R8" s="6">
        <v>1.0</v>
      </c>
      <c r="S8" s="2" t="s">
        <v>36</v>
      </c>
      <c r="T8" s="7">
        <v>141500.0</v>
      </c>
      <c r="U8" s="5">
        <v>141500.0</v>
      </c>
      <c r="V8" s="2" t="s">
        <v>91</v>
      </c>
      <c r="W8" s="2" t="s">
        <v>92</v>
      </c>
      <c r="X8" s="2">
        <v>5.1131514E7</v>
      </c>
      <c r="Y8" s="2" t="s">
        <v>88</v>
      </c>
      <c r="Z8" s="2" t="s">
        <v>93</v>
      </c>
    </row>
    <row r="9">
      <c r="A9" s="2" t="s">
        <v>94</v>
      </c>
      <c r="B9" s="3">
        <v>45936.0</v>
      </c>
      <c r="C9" s="2" t="s">
        <v>95</v>
      </c>
      <c r="D9" s="2" t="s">
        <v>96</v>
      </c>
      <c r="E9" s="4">
        <v>1300000.0</v>
      </c>
      <c r="F9" s="5">
        <v>0.0</v>
      </c>
      <c r="G9" s="5">
        <v>0.0</v>
      </c>
      <c r="H9" s="5">
        <v>247000.0</v>
      </c>
      <c r="I9" s="5">
        <v>1547000.0</v>
      </c>
      <c r="J9" s="2" t="s">
        <v>29</v>
      </c>
      <c r="K9" s="2" t="s">
        <v>97</v>
      </c>
      <c r="L9" s="2" t="s">
        <v>98</v>
      </c>
      <c r="M9" s="2" t="s">
        <v>32</v>
      </c>
      <c r="N9" s="2" t="s">
        <v>63</v>
      </c>
      <c r="O9" s="2" t="s">
        <v>34</v>
      </c>
      <c r="P9" s="2">
        <v>5.1141704E7</v>
      </c>
      <c r="Q9" s="2" t="s">
        <v>99</v>
      </c>
      <c r="R9" s="6">
        <v>10.0</v>
      </c>
      <c r="S9" s="2" t="s">
        <v>47</v>
      </c>
      <c r="T9" s="7">
        <v>130000.0</v>
      </c>
      <c r="U9" s="5">
        <v>1300000.0</v>
      </c>
      <c r="V9" s="2" t="s">
        <v>100</v>
      </c>
      <c r="W9" s="2" t="s">
        <v>101</v>
      </c>
      <c r="X9" s="2">
        <v>5.1141704E7</v>
      </c>
      <c r="Y9" s="2" t="s">
        <v>98</v>
      </c>
      <c r="Z9" s="2" t="s">
        <v>102</v>
      </c>
    </row>
    <row r="10">
      <c r="A10" s="2" t="s">
        <v>103</v>
      </c>
      <c r="B10" s="3">
        <v>45747.0</v>
      </c>
      <c r="C10" s="2" t="s">
        <v>104</v>
      </c>
      <c r="D10" s="2" t="s">
        <v>105</v>
      </c>
      <c r="E10" s="4">
        <v>2100030.0</v>
      </c>
      <c r="F10" s="5">
        <v>0.0</v>
      </c>
      <c r="G10" s="5">
        <v>0.0</v>
      </c>
      <c r="H10" s="5">
        <v>399005.7</v>
      </c>
      <c r="I10" s="5">
        <v>2499035.7</v>
      </c>
      <c r="J10" s="2" t="s">
        <v>29</v>
      </c>
      <c r="K10" s="2" t="s">
        <v>106</v>
      </c>
      <c r="L10" s="2" t="s">
        <v>107</v>
      </c>
      <c r="N10" s="2" t="s">
        <v>108</v>
      </c>
      <c r="O10" s="2" t="s">
        <v>34</v>
      </c>
      <c r="P10" s="2">
        <v>5.1181722E7</v>
      </c>
      <c r="Q10" s="2" t="s">
        <v>109</v>
      </c>
      <c r="R10" s="6">
        <v>30.0</v>
      </c>
      <c r="S10" s="2" t="s">
        <v>36</v>
      </c>
      <c r="T10" s="7">
        <v>70001.0</v>
      </c>
      <c r="U10" s="5">
        <v>2100030.0</v>
      </c>
      <c r="V10" s="2" t="s">
        <v>110</v>
      </c>
      <c r="W10" s="2" t="s">
        <v>111</v>
      </c>
      <c r="X10" s="2">
        <v>5.1181722E7</v>
      </c>
      <c r="Y10" s="2" t="s">
        <v>107</v>
      </c>
      <c r="Z10" s="2" t="s">
        <v>112</v>
      </c>
    </row>
    <row r="11">
      <c r="A11" s="2" t="s">
        <v>113</v>
      </c>
      <c r="B11" s="3">
        <v>45627.0</v>
      </c>
      <c r="C11" s="2" t="s">
        <v>114</v>
      </c>
      <c r="D11" s="2" t="s">
        <v>115</v>
      </c>
      <c r="E11" s="4">
        <v>271060.0</v>
      </c>
      <c r="F11" s="5">
        <v>0.0</v>
      </c>
      <c r="G11" s="5">
        <v>0.0</v>
      </c>
      <c r="H11" s="5">
        <v>51501.4</v>
      </c>
      <c r="I11" s="5">
        <v>322561.4</v>
      </c>
      <c r="J11" s="2" t="s">
        <v>29</v>
      </c>
      <c r="K11" s="2" t="s">
        <v>116</v>
      </c>
      <c r="L11" s="2" t="s">
        <v>117</v>
      </c>
      <c r="M11" s="2" t="s">
        <v>118</v>
      </c>
      <c r="N11" s="2" t="s">
        <v>108</v>
      </c>
      <c r="O11" s="2" t="s">
        <v>34</v>
      </c>
      <c r="P11" s="2">
        <v>5.1142801E7</v>
      </c>
      <c r="Q11" s="2" t="s">
        <v>119</v>
      </c>
      <c r="R11" s="6">
        <v>4.0</v>
      </c>
      <c r="S11" s="2" t="s">
        <v>120</v>
      </c>
      <c r="T11" s="7">
        <v>67765.0</v>
      </c>
      <c r="U11" s="5">
        <v>271060.0</v>
      </c>
      <c r="V11" s="2" t="s">
        <v>121</v>
      </c>
      <c r="W11" s="2" t="s">
        <v>122</v>
      </c>
      <c r="X11" s="2">
        <v>5.1142801E7</v>
      </c>
      <c r="Y11" s="2" t="s">
        <v>117</v>
      </c>
      <c r="Z11" s="2" t="s">
        <v>123</v>
      </c>
    </row>
    <row r="12">
      <c r="A12" s="2" t="s">
        <v>124</v>
      </c>
      <c r="B12" s="3">
        <v>45906.0</v>
      </c>
      <c r="C12" s="2" t="s">
        <v>125</v>
      </c>
      <c r="D12" s="2" t="s">
        <v>126</v>
      </c>
      <c r="E12" s="4">
        <v>526900.0</v>
      </c>
      <c r="F12" s="5">
        <v>0.0</v>
      </c>
      <c r="G12" s="5">
        <v>0.0</v>
      </c>
      <c r="H12" s="5">
        <v>100111.0</v>
      </c>
      <c r="I12" s="5">
        <v>627011.0</v>
      </c>
      <c r="J12" s="2" t="s">
        <v>29</v>
      </c>
      <c r="K12" s="2" t="s">
        <v>127</v>
      </c>
      <c r="L12" s="2" t="s">
        <v>128</v>
      </c>
      <c r="M12" s="2" t="s">
        <v>129</v>
      </c>
      <c r="N12" s="2" t="s">
        <v>108</v>
      </c>
      <c r="O12" s="2" t="s">
        <v>34</v>
      </c>
      <c r="P12" s="2">
        <v>5.1181508E7</v>
      </c>
      <c r="Q12" s="2" t="s">
        <v>130</v>
      </c>
      <c r="R12" s="6">
        <v>10.0</v>
      </c>
      <c r="S12" s="2" t="s">
        <v>47</v>
      </c>
      <c r="T12" s="7">
        <v>52690.0</v>
      </c>
      <c r="U12" s="5">
        <v>526900.0</v>
      </c>
      <c r="V12" s="2" t="s">
        <v>131</v>
      </c>
      <c r="W12" s="2" t="s">
        <v>132</v>
      </c>
      <c r="X12" s="2">
        <v>5.1181508E7</v>
      </c>
      <c r="Y12" s="2" t="s">
        <v>128</v>
      </c>
      <c r="Z12" s="2" t="s">
        <v>133</v>
      </c>
    </row>
    <row r="13">
      <c r="A13" s="2" t="s">
        <v>134</v>
      </c>
      <c r="B13" s="3">
        <v>45577.0</v>
      </c>
      <c r="C13" s="2" t="s">
        <v>135</v>
      </c>
      <c r="D13" s="2" t="s">
        <v>136</v>
      </c>
      <c r="E13" s="4">
        <v>1428000.0</v>
      </c>
      <c r="F13" s="5">
        <v>0.0</v>
      </c>
      <c r="G13" s="5">
        <v>0.0</v>
      </c>
      <c r="H13" s="5">
        <v>271320.0</v>
      </c>
      <c r="I13" s="5">
        <v>1699320.0</v>
      </c>
      <c r="J13" s="2" t="s">
        <v>29</v>
      </c>
      <c r="K13" s="2" t="s">
        <v>137</v>
      </c>
      <c r="L13" s="2" t="s">
        <v>138</v>
      </c>
      <c r="M13" s="2" t="s">
        <v>139</v>
      </c>
      <c r="N13" s="8" t="s">
        <v>33</v>
      </c>
      <c r="O13" s="2" t="s">
        <v>34</v>
      </c>
      <c r="P13" s="2">
        <v>8.5121902E7</v>
      </c>
      <c r="Q13" s="2" t="s">
        <v>140</v>
      </c>
      <c r="R13" s="6">
        <v>28.0</v>
      </c>
      <c r="S13" s="2" t="s">
        <v>141</v>
      </c>
      <c r="T13" s="7">
        <v>51000.0</v>
      </c>
      <c r="U13" s="5">
        <v>1428000.0</v>
      </c>
      <c r="V13" s="2" t="s">
        <v>142</v>
      </c>
      <c r="W13" s="2" t="s">
        <v>143</v>
      </c>
      <c r="X13" s="2">
        <v>8.5121902E7</v>
      </c>
      <c r="Y13" s="2" t="s">
        <v>138</v>
      </c>
      <c r="Z13" s="2" t="s">
        <v>144</v>
      </c>
    </row>
    <row r="14">
      <c r="A14" s="2" t="s">
        <v>145</v>
      </c>
      <c r="B14" s="3">
        <v>45645.0</v>
      </c>
      <c r="C14" s="2" t="s">
        <v>146</v>
      </c>
      <c r="D14" s="2" t="s">
        <v>147</v>
      </c>
      <c r="E14" s="4">
        <v>2856000.0</v>
      </c>
      <c r="F14" s="5">
        <v>0.0</v>
      </c>
      <c r="G14" s="5">
        <v>0.0</v>
      </c>
      <c r="H14" s="5">
        <v>542640.0</v>
      </c>
      <c r="I14" s="5">
        <v>3398640.0</v>
      </c>
      <c r="J14" s="2" t="s">
        <v>29</v>
      </c>
      <c r="K14" s="2" t="s">
        <v>137</v>
      </c>
      <c r="L14" s="2" t="s">
        <v>138</v>
      </c>
      <c r="M14" s="2" t="s">
        <v>139</v>
      </c>
      <c r="N14" s="8" t="s">
        <v>33</v>
      </c>
      <c r="O14" s="2" t="s">
        <v>34</v>
      </c>
      <c r="P14" s="2">
        <v>8.5121902E7</v>
      </c>
      <c r="Q14" s="2" t="s">
        <v>140</v>
      </c>
      <c r="R14" s="6">
        <v>56.0</v>
      </c>
      <c r="S14" s="2" t="s">
        <v>141</v>
      </c>
      <c r="T14" s="7">
        <v>51000.0</v>
      </c>
      <c r="U14" s="5">
        <v>2856000.0</v>
      </c>
      <c r="V14" s="2" t="s">
        <v>148</v>
      </c>
      <c r="W14" s="2" t="s">
        <v>143</v>
      </c>
      <c r="X14" s="2">
        <v>8.5121902E7</v>
      </c>
      <c r="Y14" s="2" t="s">
        <v>138</v>
      </c>
      <c r="Z14" s="2" t="s">
        <v>149</v>
      </c>
    </row>
    <row r="15">
      <c r="A15" s="2" t="s">
        <v>150</v>
      </c>
      <c r="B15" s="3">
        <v>45862.0</v>
      </c>
      <c r="C15" s="2" t="s">
        <v>151</v>
      </c>
      <c r="D15" s="2" t="s">
        <v>152</v>
      </c>
      <c r="E15" s="4">
        <v>1303820.0</v>
      </c>
      <c r="F15" s="5">
        <v>0.0</v>
      </c>
      <c r="G15" s="5">
        <v>0.0</v>
      </c>
      <c r="H15" s="5">
        <v>247725.8</v>
      </c>
      <c r="I15" s="5">
        <v>1551545.8</v>
      </c>
      <c r="J15" s="2" t="s">
        <v>29</v>
      </c>
      <c r="K15" s="2" t="s">
        <v>153</v>
      </c>
      <c r="L15" s="2" t="s">
        <v>154</v>
      </c>
      <c r="M15" s="2" t="s">
        <v>155</v>
      </c>
      <c r="N15" s="2" t="s">
        <v>33</v>
      </c>
      <c r="O15" s="2" t="s">
        <v>34</v>
      </c>
      <c r="P15" s="2">
        <v>5.1181707E7</v>
      </c>
      <c r="Q15" s="2" t="s">
        <v>156</v>
      </c>
      <c r="R15" s="6">
        <v>35.0</v>
      </c>
      <c r="S15" s="2" t="s">
        <v>80</v>
      </c>
      <c r="T15" s="7">
        <v>37252.0</v>
      </c>
      <c r="U15" s="5">
        <v>1303820.0</v>
      </c>
      <c r="V15" s="2" t="s">
        <v>157</v>
      </c>
      <c r="W15" s="2" t="s">
        <v>158</v>
      </c>
      <c r="X15" s="2">
        <v>5.1181707E7</v>
      </c>
      <c r="Y15" s="2" t="s">
        <v>154</v>
      </c>
      <c r="Z15" s="2" t="s">
        <v>159</v>
      </c>
    </row>
    <row r="16">
      <c r="A16" s="2" t="s">
        <v>160</v>
      </c>
      <c r="B16" s="3">
        <v>45539.0</v>
      </c>
      <c r="C16" s="2" t="s">
        <v>161</v>
      </c>
      <c r="D16" s="2" t="s">
        <v>162</v>
      </c>
      <c r="E16" s="4">
        <v>1419120.0</v>
      </c>
      <c r="F16" s="5">
        <v>0.0</v>
      </c>
      <c r="G16" s="5">
        <v>0.0</v>
      </c>
      <c r="H16" s="5">
        <v>269632.8</v>
      </c>
      <c r="I16" s="5">
        <v>1688752.8</v>
      </c>
      <c r="J16" s="2" t="s">
        <v>29</v>
      </c>
      <c r="K16" s="2" t="s">
        <v>153</v>
      </c>
      <c r="L16" s="2" t="s">
        <v>154</v>
      </c>
      <c r="M16" s="2" t="s">
        <v>155</v>
      </c>
      <c r="N16" s="2" t="s">
        <v>33</v>
      </c>
      <c r="O16" s="2" t="s">
        <v>34</v>
      </c>
      <c r="P16" s="2">
        <v>5.1181707E7</v>
      </c>
      <c r="Q16" s="2" t="s">
        <v>163</v>
      </c>
      <c r="R16" s="6">
        <v>40.0</v>
      </c>
      <c r="S16" s="2" t="s">
        <v>36</v>
      </c>
      <c r="T16" s="7">
        <v>35478.0</v>
      </c>
      <c r="U16" s="5">
        <v>1419120.0</v>
      </c>
      <c r="V16" s="2" t="s">
        <v>164</v>
      </c>
      <c r="W16" s="2" t="s">
        <v>165</v>
      </c>
      <c r="X16" s="2">
        <v>5.1181707E7</v>
      </c>
      <c r="Y16" s="2" t="s">
        <v>154</v>
      </c>
      <c r="Z16" s="2" t="s">
        <v>166</v>
      </c>
    </row>
    <row r="17">
      <c r="A17" s="2" t="s">
        <v>167</v>
      </c>
      <c r="B17" s="3">
        <v>45845.0</v>
      </c>
      <c r="C17" s="2" t="s">
        <v>168</v>
      </c>
      <c r="D17" s="2" t="s">
        <v>169</v>
      </c>
      <c r="E17" s="4">
        <v>1044150.0</v>
      </c>
      <c r="F17" s="5">
        <v>0.0</v>
      </c>
      <c r="G17" s="5">
        <v>0.0</v>
      </c>
      <c r="H17" s="5">
        <v>198388.5</v>
      </c>
      <c r="I17" s="5">
        <v>1242538.5</v>
      </c>
      <c r="J17" s="2" t="s">
        <v>29</v>
      </c>
      <c r="K17" s="2" t="s">
        <v>170</v>
      </c>
      <c r="L17" s="2" t="s">
        <v>171</v>
      </c>
      <c r="M17" s="2" t="s">
        <v>172</v>
      </c>
      <c r="N17" s="2" t="s">
        <v>33</v>
      </c>
      <c r="O17" s="2" t="s">
        <v>34</v>
      </c>
      <c r="P17" s="2">
        <v>5.117191E7</v>
      </c>
      <c r="Q17" s="2" t="s">
        <v>173</v>
      </c>
      <c r="R17" s="6">
        <v>30.0</v>
      </c>
      <c r="S17" s="2" t="s">
        <v>120</v>
      </c>
      <c r="T17" s="7">
        <v>34805.0</v>
      </c>
      <c r="U17" s="5">
        <v>1044150.0</v>
      </c>
      <c r="V17" s="2" t="s">
        <v>174</v>
      </c>
      <c r="W17" s="2" t="s">
        <v>175</v>
      </c>
      <c r="X17" s="2">
        <v>5.117191E7</v>
      </c>
      <c r="Y17" s="2" t="s">
        <v>171</v>
      </c>
      <c r="Z17" s="2" t="s">
        <v>176</v>
      </c>
    </row>
    <row r="18">
      <c r="A18" s="2" t="s">
        <v>177</v>
      </c>
      <c r="B18" s="3">
        <v>45499.0</v>
      </c>
      <c r="C18" s="2" t="s">
        <v>178</v>
      </c>
      <c r="D18" s="2" t="s">
        <v>179</v>
      </c>
      <c r="E18" s="4">
        <v>1339650.0</v>
      </c>
      <c r="F18" s="5">
        <v>0.0</v>
      </c>
      <c r="G18" s="5">
        <v>0.0</v>
      </c>
      <c r="H18" s="5">
        <v>254533.5</v>
      </c>
      <c r="I18" s="5">
        <v>1594183.5</v>
      </c>
      <c r="J18" s="2" t="s">
        <v>29</v>
      </c>
      <c r="K18" s="2" t="s">
        <v>180</v>
      </c>
      <c r="L18" s="2" t="s">
        <v>181</v>
      </c>
      <c r="M18" s="2" t="s">
        <v>62</v>
      </c>
      <c r="N18" s="8" t="s">
        <v>182</v>
      </c>
      <c r="O18" s="2" t="s">
        <v>34</v>
      </c>
      <c r="P18" s="2">
        <v>5.1181722E7</v>
      </c>
      <c r="Q18" s="2" t="s">
        <v>183</v>
      </c>
      <c r="R18" s="6">
        <v>39.0</v>
      </c>
      <c r="S18" s="2" t="s">
        <v>36</v>
      </c>
      <c r="T18" s="7">
        <v>34350.0</v>
      </c>
      <c r="U18" s="5">
        <v>1339650.0</v>
      </c>
      <c r="V18" s="2" t="s">
        <v>184</v>
      </c>
      <c r="W18" s="2" t="s">
        <v>185</v>
      </c>
      <c r="X18" s="2">
        <v>5.1181722E7</v>
      </c>
      <c r="Y18" s="2" t="s">
        <v>181</v>
      </c>
      <c r="Z18" s="2" t="s">
        <v>186</v>
      </c>
    </row>
    <row r="19">
      <c r="A19" s="2" t="s">
        <v>187</v>
      </c>
      <c r="B19" s="3">
        <v>45298.0</v>
      </c>
      <c r="C19" s="2" t="s">
        <v>188</v>
      </c>
      <c r="D19" s="2" t="s">
        <v>189</v>
      </c>
      <c r="E19" s="4">
        <v>1363520.0</v>
      </c>
      <c r="F19" s="5">
        <v>0.0</v>
      </c>
      <c r="G19" s="5">
        <v>0.0</v>
      </c>
      <c r="H19" s="5">
        <v>259068.8</v>
      </c>
      <c r="I19" s="5">
        <v>1622588.8</v>
      </c>
      <c r="J19" s="2" t="s">
        <v>29</v>
      </c>
      <c r="K19" s="2" t="s">
        <v>190</v>
      </c>
      <c r="L19" s="2" t="s">
        <v>191</v>
      </c>
      <c r="M19" s="2" t="s">
        <v>192</v>
      </c>
      <c r="N19" s="8" t="s">
        <v>182</v>
      </c>
      <c r="O19" s="2" t="s">
        <v>34</v>
      </c>
      <c r="P19" s="2">
        <v>5.1181722E7</v>
      </c>
      <c r="Q19" s="2" t="s">
        <v>183</v>
      </c>
      <c r="R19" s="6">
        <v>40.0</v>
      </c>
      <c r="S19" s="2" t="s">
        <v>36</v>
      </c>
      <c r="T19" s="7">
        <v>34088.0</v>
      </c>
      <c r="U19" s="5">
        <v>1363520.0</v>
      </c>
      <c r="V19" s="2" t="s">
        <v>193</v>
      </c>
      <c r="W19" s="2" t="s">
        <v>194</v>
      </c>
      <c r="X19" s="2">
        <v>5.1181722E7</v>
      </c>
      <c r="Y19" s="2" t="s">
        <v>191</v>
      </c>
      <c r="Z19" s="2" t="s">
        <v>195</v>
      </c>
    </row>
    <row r="20">
      <c r="A20" s="2" t="s">
        <v>196</v>
      </c>
      <c r="B20" s="3">
        <v>45936.0</v>
      </c>
      <c r="C20" s="2" t="s">
        <v>197</v>
      </c>
      <c r="D20" s="2" t="s">
        <v>198</v>
      </c>
      <c r="E20" s="4">
        <v>646627.0</v>
      </c>
      <c r="F20" s="5">
        <v>0.0</v>
      </c>
      <c r="G20" s="5">
        <v>0.0</v>
      </c>
      <c r="H20" s="5">
        <v>122859.13</v>
      </c>
      <c r="I20" s="5">
        <v>769486.13</v>
      </c>
      <c r="J20" s="2" t="s">
        <v>29</v>
      </c>
      <c r="K20" s="2" t="s">
        <v>153</v>
      </c>
      <c r="L20" s="2" t="s">
        <v>154</v>
      </c>
      <c r="M20" s="2" t="s">
        <v>155</v>
      </c>
      <c r="N20" s="2" t="s">
        <v>33</v>
      </c>
      <c r="O20" s="2" t="s">
        <v>34</v>
      </c>
      <c r="P20" s="2">
        <v>5.1181707E7</v>
      </c>
      <c r="Q20" s="2" t="s">
        <v>199</v>
      </c>
      <c r="R20" s="6">
        <v>19.0</v>
      </c>
      <c r="S20" s="2" t="s">
        <v>47</v>
      </c>
      <c r="T20" s="7">
        <v>34033.0</v>
      </c>
      <c r="U20" s="5">
        <v>646627.0</v>
      </c>
      <c r="V20" s="2" t="s">
        <v>200</v>
      </c>
      <c r="W20" s="2" t="s">
        <v>201</v>
      </c>
      <c r="X20" s="2">
        <v>5.1181707E7</v>
      </c>
      <c r="Y20" s="2" t="s">
        <v>154</v>
      </c>
      <c r="Z20" s="2" t="s">
        <v>202</v>
      </c>
    </row>
    <row r="21">
      <c r="A21" s="2" t="s">
        <v>203</v>
      </c>
      <c r="B21" s="3">
        <v>45936.0</v>
      </c>
      <c r="C21" s="2" t="s">
        <v>204</v>
      </c>
      <c r="D21" s="2" t="s">
        <v>205</v>
      </c>
      <c r="E21" s="4">
        <v>168750.0</v>
      </c>
      <c r="F21" s="5">
        <v>0.0</v>
      </c>
      <c r="G21" s="5">
        <v>0.0</v>
      </c>
      <c r="H21" s="5">
        <v>32062.5</v>
      </c>
      <c r="I21" s="5">
        <v>200812.5</v>
      </c>
      <c r="J21" s="2" t="s">
        <v>29</v>
      </c>
      <c r="K21" s="2" t="s">
        <v>206</v>
      </c>
      <c r="L21" s="2" t="s">
        <v>207</v>
      </c>
      <c r="M21" s="2" t="s">
        <v>208</v>
      </c>
      <c r="N21" s="2" t="s">
        <v>33</v>
      </c>
      <c r="O21" s="2" t="s">
        <v>34</v>
      </c>
      <c r="P21" s="2">
        <v>5.1182101E7</v>
      </c>
      <c r="Q21" s="2" t="s">
        <v>209</v>
      </c>
      <c r="R21" s="6">
        <v>5.0</v>
      </c>
      <c r="S21" s="2" t="s">
        <v>120</v>
      </c>
      <c r="T21" s="7">
        <v>33750.0</v>
      </c>
      <c r="U21" s="5">
        <v>168750.0</v>
      </c>
      <c r="V21" s="2" t="s">
        <v>210</v>
      </c>
      <c r="W21" s="2" t="s">
        <v>211</v>
      </c>
      <c r="X21" s="2">
        <v>5.1182101E7</v>
      </c>
      <c r="Y21" s="2" t="s">
        <v>207</v>
      </c>
      <c r="Z21" s="2" t="s">
        <v>212</v>
      </c>
    </row>
    <row r="22">
      <c r="A22" s="2" t="s">
        <v>213</v>
      </c>
      <c r="B22" s="3">
        <v>45461.0</v>
      </c>
      <c r="C22" s="8" t="s">
        <v>214</v>
      </c>
      <c r="D22" s="2" t="s">
        <v>215</v>
      </c>
      <c r="E22" s="4">
        <v>994440.0</v>
      </c>
      <c r="F22" s="5">
        <v>0.0</v>
      </c>
      <c r="G22" s="5">
        <v>0.0</v>
      </c>
      <c r="H22" s="5">
        <v>188943.6</v>
      </c>
      <c r="I22" s="5">
        <v>1183383.6</v>
      </c>
      <c r="J22" s="2" t="s">
        <v>29</v>
      </c>
      <c r="K22" s="2" t="s">
        <v>43</v>
      </c>
      <c r="L22" s="2" t="s">
        <v>44</v>
      </c>
      <c r="M22" s="2" t="s">
        <v>45</v>
      </c>
      <c r="N22" s="2" t="s">
        <v>33</v>
      </c>
      <c r="O22" s="2" t="s">
        <v>34</v>
      </c>
      <c r="P22" s="2">
        <v>8.5121902E7</v>
      </c>
      <c r="Q22" s="2" t="s">
        <v>216</v>
      </c>
      <c r="R22" s="6">
        <v>30.0</v>
      </c>
      <c r="S22" s="2" t="s">
        <v>141</v>
      </c>
      <c r="T22" s="7">
        <v>33148.0</v>
      </c>
      <c r="U22" s="5">
        <v>994440.0</v>
      </c>
      <c r="V22" s="2" t="s">
        <v>217</v>
      </c>
      <c r="W22" s="2" t="s">
        <v>218</v>
      </c>
      <c r="X22" s="2">
        <v>8.5121902E7</v>
      </c>
      <c r="Y22" s="2" t="s">
        <v>44</v>
      </c>
      <c r="Z22" s="2" t="s">
        <v>219</v>
      </c>
    </row>
    <row r="23">
      <c r="A23" s="2" t="s">
        <v>220</v>
      </c>
      <c r="B23" s="3">
        <v>45771.0</v>
      </c>
      <c r="C23" s="2" t="s">
        <v>221</v>
      </c>
      <c r="D23" s="2" t="s">
        <v>222</v>
      </c>
      <c r="E23" s="4">
        <v>3660000.0</v>
      </c>
      <c r="F23" s="5">
        <v>0.0</v>
      </c>
      <c r="G23" s="5">
        <v>0.0</v>
      </c>
      <c r="H23" s="5">
        <v>695400.0</v>
      </c>
      <c r="I23" s="5">
        <v>4355400.0</v>
      </c>
      <c r="J23" s="2" t="s">
        <v>29</v>
      </c>
      <c r="K23" s="2" t="s">
        <v>223</v>
      </c>
      <c r="L23" s="2" t="s">
        <v>224</v>
      </c>
      <c r="M23" s="2" t="s">
        <v>225</v>
      </c>
      <c r="N23" s="2" t="s">
        <v>33</v>
      </c>
      <c r="O23" s="2" t="s">
        <v>34</v>
      </c>
      <c r="P23" s="2">
        <v>5.1161708E7</v>
      </c>
      <c r="Q23" s="2" t="s">
        <v>226</v>
      </c>
      <c r="R23" s="6">
        <v>120.0</v>
      </c>
      <c r="S23" s="2" t="s">
        <v>80</v>
      </c>
      <c r="T23" s="7">
        <v>30500.0</v>
      </c>
      <c r="U23" s="5">
        <v>3660000.0</v>
      </c>
      <c r="V23" s="2" t="s">
        <v>227</v>
      </c>
      <c r="W23" s="2" t="s">
        <v>228</v>
      </c>
      <c r="X23" s="2">
        <v>5.1161708E7</v>
      </c>
      <c r="Y23" s="2" t="s">
        <v>224</v>
      </c>
      <c r="Z23" s="2" t="s">
        <v>229</v>
      </c>
    </row>
    <row r="24">
      <c r="A24" s="2" t="s">
        <v>230</v>
      </c>
      <c r="B24" s="3">
        <v>45997.0</v>
      </c>
      <c r="C24" s="8" t="s">
        <v>231</v>
      </c>
      <c r="D24" s="2" t="s">
        <v>232</v>
      </c>
      <c r="E24" s="4">
        <v>5700000.0</v>
      </c>
      <c r="F24" s="5">
        <v>0.0</v>
      </c>
      <c r="G24" s="5">
        <v>0.0</v>
      </c>
      <c r="H24" s="5">
        <v>1083000.0</v>
      </c>
      <c r="I24" s="5">
        <v>6783000.0</v>
      </c>
      <c r="J24" s="2" t="s">
        <v>29</v>
      </c>
      <c r="K24" s="2" t="s">
        <v>233</v>
      </c>
      <c r="L24" s="2" t="s">
        <v>234</v>
      </c>
      <c r="M24" s="2" t="s">
        <v>235</v>
      </c>
      <c r="N24" s="2" t="s">
        <v>33</v>
      </c>
      <c r="O24" s="2" t="s">
        <v>34</v>
      </c>
      <c r="P24" s="2">
        <v>5.1131909E7</v>
      </c>
      <c r="Q24" s="2" t="s">
        <v>236</v>
      </c>
      <c r="R24" s="6">
        <v>190.0</v>
      </c>
      <c r="S24" s="2" t="s">
        <v>47</v>
      </c>
      <c r="T24" s="7">
        <v>30000.0</v>
      </c>
      <c r="U24" s="5">
        <v>5700000.0</v>
      </c>
      <c r="V24" s="2" t="s">
        <v>237</v>
      </c>
      <c r="W24" s="2" t="s">
        <v>238</v>
      </c>
      <c r="X24" s="2">
        <v>5.1131909E7</v>
      </c>
      <c r="Y24" s="2" t="s">
        <v>234</v>
      </c>
      <c r="Z24" s="2" t="s">
        <v>239</v>
      </c>
    </row>
    <row r="25">
      <c r="A25" s="2" t="s">
        <v>240</v>
      </c>
      <c r="B25" s="3">
        <v>45827.0</v>
      </c>
      <c r="C25" s="8" t="s">
        <v>241</v>
      </c>
      <c r="D25" s="2" t="s">
        <v>242</v>
      </c>
      <c r="E25" s="4">
        <v>5341680.0</v>
      </c>
      <c r="F25" s="5">
        <v>0.0</v>
      </c>
      <c r="G25" s="5">
        <v>0.0</v>
      </c>
      <c r="H25" s="5">
        <v>1014919.2</v>
      </c>
      <c r="I25" s="5">
        <v>6356599.2</v>
      </c>
      <c r="J25" s="2" t="s">
        <v>29</v>
      </c>
      <c r="K25" s="2" t="s">
        <v>43</v>
      </c>
      <c r="L25" s="2" t="s">
        <v>44</v>
      </c>
      <c r="M25" s="2" t="s">
        <v>45</v>
      </c>
      <c r="N25" s="2" t="s">
        <v>33</v>
      </c>
      <c r="O25" s="2" t="s">
        <v>34</v>
      </c>
      <c r="P25" s="2">
        <v>5.1161626E7</v>
      </c>
      <c r="Q25" s="2" t="s">
        <v>243</v>
      </c>
      <c r="R25" s="6">
        <v>180.0</v>
      </c>
      <c r="S25" s="2" t="s">
        <v>141</v>
      </c>
      <c r="T25" s="7">
        <v>29676.0</v>
      </c>
      <c r="U25" s="5">
        <v>5341680.0</v>
      </c>
      <c r="V25" s="2" t="s">
        <v>244</v>
      </c>
      <c r="W25" s="2" t="s">
        <v>245</v>
      </c>
      <c r="X25" s="2">
        <v>5.1161626E7</v>
      </c>
      <c r="Y25" s="2" t="s">
        <v>44</v>
      </c>
      <c r="Z25" s="2" t="s">
        <v>246</v>
      </c>
    </row>
    <row r="26">
      <c r="A26" s="2" t="s">
        <v>247</v>
      </c>
      <c r="B26" s="3">
        <v>45323.0</v>
      </c>
      <c r="C26" s="8" t="s">
        <v>248</v>
      </c>
      <c r="D26" s="2" t="s">
        <v>249</v>
      </c>
      <c r="E26" s="4">
        <v>1238400.0</v>
      </c>
      <c r="F26" s="5">
        <v>0.0</v>
      </c>
      <c r="G26" s="5">
        <v>0.0</v>
      </c>
      <c r="H26" s="5">
        <v>235296.0</v>
      </c>
      <c r="I26" s="5">
        <v>1473696.0</v>
      </c>
      <c r="J26" s="2" t="s">
        <v>29</v>
      </c>
      <c r="K26" s="2" t="s">
        <v>250</v>
      </c>
      <c r="L26" s="2" t="s">
        <v>251</v>
      </c>
      <c r="M26" s="2" t="s">
        <v>252</v>
      </c>
      <c r="N26" s="8" t="s">
        <v>253</v>
      </c>
      <c r="O26" s="2" t="s">
        <v>34</v>
      </c>
      <c r="P26" s="2">
        <v>5.1191603E7</v>
      </c>
      <c r="Q26" s="2" t="s">
        <v>254</v>
      </c>
      <c r="R26" s="6">
        <v>48.0</v>
      </c>
      <c r="S26" s="2" t="s">
        <v>255</v>
      </c>
      <c r="T26" s="7">
        <v>25800.0</v>
      </c>
      <c r="U26" s="5">
        <v>1238400.0</v>
      </c>
      <c r="V26" s="2" t="s">
        <v>256</v>
      </c>
      <c r="W26" s="2" t="s">
        <v>257</v>
      </c>
      <c r="X26" s="2">
        <v>5.1191603E7</v>
      </c>
      <c r="Y26" s="2" t="s">
        <v>251</v>
      </c>
      <c r="Z26" s="2" t="s">
        <v>258</v>
      </c>
    </row>
    <row r="27">
      <c r="A27" s="2" t="s">
        <v>259</v>
      </c>
      <c r="B27" s="3">
        <v>45967.0</v>
      </c>
      <c r="C27" s="2" t="s">
        <v>260</v>
      </c>
      <c r="D27" s="2" t="s">
        <v>261</v>
      </c>
      <c r="E27" s="4">
        <v>5626560.0</v>
      </c>
      <c r="F27" s="5">
        <v>0.0</v>
      </c>
      <c r="G27" s="5">
        <v>0.0</v>
      </c>
      <c r="H27" s="5">
        <v>1069046.4</v>
      </c>
      <c r="I27" s="5">
        <v>6695606.4</v>
      </c>
      <c r="J27" s="2" t="s">
        <v>29</v>
      </c>
      <c r="K27" s="2" t="s">
        <v>106</v>
      </c>
      <c r="L27" s="2" t="s">
        <v>107</v>
      </c>
      <c r="N27" s="2" t="s">
        <v>108</v>
      </c>
      <c r="O27" s="2" t="s">
        <v>34</v>
      </c>
      <c r="P27" s="2">
        <v>8.5121902E7</v>
      </c>
      <c r="Q27" s="2" t="s">
        <v>262</v>
      </c>
      <c r="R27" s="6">
        <v>240.0</v>
      </c>
      <c r="S27" s="2" t="s">
        <v>141</v>
      </c>
      <c r="T27" s="7">
        <v>23444.0</v>
      </c>
      <c r="U27" s="5">
        <v>5626560.0</v>
      </c>
      <c r="V27" s="2" t="s">
        <v>263</v>
      </c>
      <c r="W27" s="2" t="s">
        <v>264</v>
      </c>
      <c r="X27" s="2">
        <v>8.5121902E7</v>
      </c>
      <c r="Y27" s="2" t="s">
        <v>107</v>
      </c>
      <c r="Z27" s="2" t="s">
        <v>265</v>
      </c>
    </row>
    <row r="28">
      <c r="A28" s="2" t="s">
        <v>266</v>
      </c>
      <c r="B28" s="3">
        <v>45777.0</v>
      </c>
      <c r="C28" s="2" t="s">
        <v>267</v>
      </c>
      <c r="D28" s="2" t="s">
        <v>268</v>
      </c>
      <c r="E28" s="4">
        <v>637140.0</v>
      </c>
      <c r="F28" s="5">
        <v>0.0</v>
      </c>
      <c r="G28" s="5">
        <v>0.0</v>
      </c>
      <c r="H28" s="5">
        <v>121056.6</v>
      </c>
      <c r="I28" s="5">
        <v>758196.6</v>
      </c>
      <c r="J28" s="2" t="s">
        <v>29</v>
      </c>
      <c r="K28" s="2" t="s">
        <v>190</v>
      </c>
      <c r="L28" s="2" t="s">
        <v>191</v>
      </c>
      <c r="M28" s="2" t="s">
        <v>192</v>
      </c>
      <c r="N28" s="2" t="s">
        <v>63</v>
      </c>
      <c r="O28" s="2" t="s">
        <v>34</v>
      </c>
      <c r="P28" s="2">
        <v>5.1111507E7</v>
      </c>
      <c r="Q28" s="2" t="s">
        <v>269</v>
      </c>
      <c r="R28" s="6">
        <v>30.0</v>
      </c>
      <c r="S28" s="2" t="s">
        <v>47</v>
      </c>
      <c r="T28" s="7">
        <v>21238.0</v>
      </c>
      <c r="U28" s="5">
        <v>637140.0</v>
      </c>
      <c r="V28" s="2" t="s">
        <v>270</v>
      </c>
      <c r="W28" s="2" t="s">
        <v>271</v>
      </c>
      <c r="X28" s="2">
        <v>5.1111507E7</v>
      </c>
      <c r="Y28" s="2" t="s">
        <v>191</v>
      </c>
      <c r="Z28" s="2" t="s">
        <v>272</v>
      </c>
    </row>
    <row r="29">
      <c r="A29" s="2" t="s">
        <v>273</v>
      </c>
      <c r="B29" s="3">
        <v>45755.0</v>
      </c>
      <c r="C29" s="2" t="s">
        <v>274</v>
      </c>
      <c r="D29" s="2" t="s">
        <v>275</v>
      </c>
      <c r="E29" s="4">
        <v>540000.0</v>
      </c>
      <c r="F29" s="5">
        <v>0.0</v>
      </c>
      <c r="G29" s="5">
        <v>0.0</v>
      </c>
      <c r="H29" s="5">
        <v>102600.0</v>
      </c>
      <c r="I29" s="5">
        <v>642600.0</v>
      </c>
      <c r="J29" s="2" t="s">
        <v>29</v>
      </c>
      <c r="K29" s="2" t="s">
        <v>43</v>
      </c>
      <c r="L29" s="2" t="s">
        <v>44</v>
      </c>
      <c r="M29" s="2" t="s">
        <v>45</v>
      </c>
      <c r="N29" s="2" t="s">
        <v>33</v>
      </c>
      <c r="O29" s="2" t="s">
        <v>34</v>
      </c>
      <c r="P29" s="2">
        <v>5.1141518E7</v>
      </c>
      <c r="Q29" s="2" t="s">
        <v>276</v>
      </c>
      <c r="R29" s="6">
        <v>30.0</v>
      </c>
      <c r="S29" s="2" t="s">
        <v>120</v>
      </c>
      <c r="T29" s="7">
        <v>18000.0</v>
      </c>
      <c r="U29" s="5">
        <v>540000.0</v>
      </c>
      <c r="V29" s="2" t="s">
        <v>277</v>
      </c>
      <c r="W29" s="2" t="s">
        <v>278</v>
      </c>
      <c r="X29" s="2">
        <v>5.1141518E7</v>
      </c>
      <c r="Y29" s="2" t="s">
        <v>44</v>
      </c>
      <c r="Z29" s="2" t="s">
        <v>246</v>
      </c>
    </row>
    <row r="30">
      <c r="A30" s="2" t="s">
        <v>279</v>
      </c>
      <c r="B30" s="3">
        <v>45697.0</v>
      </c>
      <c r="C30" s="2" t="s">
        <v>280</v>
      </c>
      <c r="D30" s="2" t="s">
        <v>281</v>
      </c>
      <c r="E30" s="4">
        <v>338000.0</v>
      </c>
      <c r="F30" s="5">
        <v>0.0</v>
      </c>
      <c r="G30" s="5">
        <v>0.0</v>
      </c>
      <c r="H30" s="5">
        <v>64220.0</v>
      </c>
      <c r="I30" s="5">
        <v>402220.0</v>
      </c>
      <c r="J30" s="2" t="s">
        <v>29</v>
      </c>
      <c r="K30" s="2" t="s">
        <v>127</v>
      </c>
      <c r="L30" s="2" t="s">
        <v>128</v>
      </c>
      <c r="M30" s="2" t="s">
        <v>129</v>
      </c>
      <c r="N30" s="2" t="s">
        <v>108</v>
      </c>
      <c r="O30" s="2" t="s">
        <v>34</v>
      </c>
      <c r="P30" s="2">
        <v>8.5121902E7</v>
      </c>
      <c r="Q30" s="2" t="s">
        <v>282</v>
      </c>
      <c r="R30" s="6">
        <v>20.0</v>
      </c>
      <c r="S30" s="2" t="s">
        <v>120</v>
      </c>
      <c r="T30" s="7">
        <v>16900.0</v>
      </c>
      <c r="U30" s="5">
        <v>338000.0</v>
      </c>
      <c r="V30" s="2" t="s">
        <v>283</v>
      </c>
      <c r="W30" s="2" t="s">
        <v>284</v>
      </c>
      <c r="X30" s="2">
        <v>8.5121902E7</v>
      </c>
      <c r="Y30" s="2" t="s">
        <v>128</v>
      </c>
      <c r="Z30" s="2" t="s">
        <v>285</v>
      </c>
    </row>
    <row r="31">
      <c r="A31" s="2" t="s">
        <v>286</v>
      </c>
      <c r="B31" s="3">
        <v>45763.0</v>
      </c>
      <c r="C31" s="2" t="s">
        <v>287</v>
      </c>
      <c r="D31" s="2" t="s">
        <v>288</v>
      </c>
      <c r="E31" s="4">
        <v>1000620.0</v>
      </c>
      <c r="F31" s="5">
        <v>0.0</v>
      </c>
      <c r="G31" s="5">
        <v>0.0</v>
      </c>
      <c r="H31" s="5">
        <v>190117.8</v>
      </c>
      <c r="I31" s="5">
        <v>1190737.8</v>
      </c>
      <c r="J31" s="2" t="s">
        <v>29</v>
      </c>
      <c r="K31" s="2" t="s">
        <v>127</v>
      </c>
      <c r="L31" s="2" t="s">
        <v>128</v>
      </c>
      <c r="M31" s="2" t="s">
        <v>129</v>
      </c>
      <c r="N31" s="2" t="s">
        <v>108</v>
      </c>
      <c r="O31" s="2" t="s">
        <v>34</v>
      </c>
      <c r="P31" s="2">
        <v>5.1191905E7</v>
      </c>
      <c r="Q31" s="2" t="s">
        <v>289</v>
      </c>
      <c r="R31" s="6">
        <v>60.0</v>
      </c>
      <c r="S31" s="2" t="s">
        <v>120</v>
      </c>
      <c r="T31" s="7">
        <v>16677.0</v>
      </c>
      <c r="U31" s="5">
        <v>1000620.0</v>
      </c>
      <c r="V31" s="2" t="s">
        <v>290</v>
      </c>
      <c r="W31" s="2" t="s">
        <v>291</v>
      </c>
      <c r="X31" s="2">
        <v>5.1191905E7</v>
      </c>
      <c r="Y31" s="2" t="s">
        <v>128</v>
      </c>
      <c r="Z31" s="2" t="s">
        <v>133</v>
      </c>
    </row>
    <row r="32">
      <c r="A32" s="2" t="s">
        <v>292</v>
      </c>
      <c r="B32" s="3">
        <v>45996.0</v>
      </c>
      <c r="C32" s="2" t="s">
        <v>293</v>
      </c>
      <c r="D32" s="2" t="s">
        <v>294</v>
      </c>
      <c r="E32" s="4">
        <v>325440.0</v>
      </c>
      <c r="F32" s="5">
        <v>0.0</v>
      </c>
      <c r="G32" s="5">
        <v>0.0</v>
      </c>
      <c r="H32" s="5">
        <v>61833.6</v>
      </c>
      <c r="I32" s="5">
        <v>387273.6</v>
      </c>
      <c r="J32" s="2" t="s">
        <v>29</v>
      </c>
      <c r="K32" s="2" t="s">
        <v>60</v>
      </c>
      <c r="L32" s="2" t="s">
        <v>61</v>
      </c>
      <c r="M32" s="2" t="s">
        <v>62</v>
      </c>
      <c r="N32" s="2" t="s">
        <v>63</v>
      </c>
      <c r="O32" s="2" t="s">
        <v>34</v>
      </c>
      <c r="P32" s="2">
        <v>5.120151E7</v>
      </c>
      <c r="Q32" s="2" t="s">
        <v>295</v>
      </c>
      <c r="R32" s="6">
        <v>20.0</v>
      </c>
      <c r="S32" s="2" t="s">
        <v>36</v>
      </c>
      <c r="T32" s="7">
        <v>16272.0</v>
      </c>
      <c r="U32" s="5">
        <v>325440.0</v>
      </c>
      <c r="V32" s="2" t="s">
        <v>296</v>
      </c>
      <c r="W32" s="2" t="s">
        <v>297</v>
      </c>
      <c r="X32" s="2">
        <v>5.120151E7</v>
      </c>
      <c r="Y32" s="2" t="s">
        <v>61</v>
      </c>
      <c r="Z32" s="2" t="s">
        <v>67</v>
      </c>
    </row>
    <row r="33">
      <c r="A33" s="2" t="s">
        <v>298</v>
      </c>
      <c r="B33" s="3">
        <v>45750.0</v>
      </c>
      <c r="C33" s="2" t="s">
        <v>299</v>
      </c>
      <c r="D33" s="2" t="s">
        <v>300</v>
      </c>
      <c r="E33" s="4">
        <v>796250.0</v>
      </c>
      <c r="F33" s="5">
        <v>0.0</v>
      </c>
      <c r="G33" s="5">
        <v>0.0</v>
      </c>
      <c r="H33" s="5">
        <v>151287.5</v>
      </c>
      <c r="I33" s="5">
        <v>947537.5</v>
      </c>
      <c r="J33" s="2" t="s">
        <v>29</v>
      </c>
      <c r="K33" s="2" t="s">
        <v>301</v>
      </c>
      <c r="L33" s="2" t="s">
        <v>302</v>
      </c>
      <c r="M33" s="2" t="s">
        <v>45</v>
      </c>
      <c r="N33" s="2" t="s">
        <v>63</v>
      </c>
      <c r="O33" s="2" t="s">
        <v>34</v>
      </c>
      <c r="P33" s="2">
        <v>5.1101572E7</v>
      </c>
      <c r="Q33" s="2" t="s">
        <v>303</v>
      </c>
      <c r="R33" s="6">
        <v>50.0</v>
      </c>
      <c r="S33" s="2" t="s">
        <v>36</v>
      </c>
      <c r="T33" s="7">
        <v>15925.0</v>
      </c>
      <c r="U33" s="5">
        <v>796250.0</v>
      </c>
      <c r="V33" s="2" t="s">
        <v>304</v>
      </c>
      <c r="W33" s="2" t="s">
        <v>305</v>
      </c>
      <c r="X33" s="2">
        <v>5.1101572E7</v>
      </c>
      <c r="Y33" s="2" t="s">
        <v>302</v>
      </c>
      <c r="Z33" s="2" t="s">
        <v>306</v>
      </c>
    </row>
    <row r="34">
      <c r="A34" s="2" t="s">
        <v>307</v>
      </c>
      <c r="B34" s="3">
        <v>45964.0</v>
      </c>
      <c r="C34" s="2" t="s">
        <v>308</v>
      </c>
      <c r="D34" s="2" t="s">
        <v>309</v>
      </c>
      <c r="E34" s="4">
        <v>303220.0</v>
      </c>
      <c r="F34" s="5">
        <v>0.0</v>
      </c>
      <c r="G34" s="5">
        <v>0.0</v>
      </c>
      <c r="H34" s="5">
        <v>57611.8</v>
      </c>
      <c r="I34" s="5">
        <v>360831.8</v>
      </c>
      <c r="J34" s="2" t="s">
        <v>29</v>
      </c>
      <c r="K34" s="2" t="s">
        <v>310</v>
      </c>
      <c r="L34" s="2" t="s">
        <v>311</v>
      </c>
      <c r="M34" s="2" t="s">
        <v>312</v>
      </c>
      <c r="N34" s="2" t="s">
        <v>33</v>
      </c>
      <c r="O34" s="2" t="s">
        <v>34</v>
      </c>
      <c r="P34" s="2">
        <v>5.1191905E7</v>
      </c>
      <c r="Q34" s="2" t="s">
        <v>313</v>
      </c>
      <c r="R34" s="6">
        <v>20.0</v>
      </c>
      <c r="S34" s="2" t="s">
        <v>120</v>
      </c>
      <c r="T34" s="7">
        <v>15161.0</v>
      </c>
      <c r="U34" s="5">
        <v>303220.0</v>
      </c>
      <c r="V34" s="2" t="s">
        <v>314</v>
      </c>
      <c r="W34" s="2" t="s">
        <v>315</v>
      </c>
      <c r="X34" s="2">
        <v>5.1191905E7</v>
      </c>
      <c r="Y34" s="2" t="s">
        <v>311</v>
      </c>
      <c r="Z34" s="2" t="s">
        <v>316</v>
      </c>
    </row>
    <row r="35">
      <c r="A35" s="2" t="s">
        <v>317</v>
      </c>
      <c r="B35" s="3">
        <v>45736.0</v>
      </c>
      <c r="C35" s="2" t="s">
        <v>267</v>
      </c>
      <c r="D35" s="2" t="s">
        <v>318</v>
      </c>
      <c r="E35" s="4">
        <v>990080.0</v>
      </c>
      <c r="F35" s="5">
        <v>0.0</v>
      </c>
      <c r="G35" s="5">
        <v>0.0</v>
      </c>
      <c r="H35" s="5">
        <v>188115.2</v>
      </c>
      <c r="I35" s="5">
        <v>1178195.2</v>
      </c>
      <c r="J35" s="2" t="s">
        <v>29</v>
      </c>
      <c r="K35" s="2" t="s">
        <v>190</v>
      </c>
      <c r="L35" s="2" t="s">
        <v>191</v>
      </c>
      <c r="M35" s="2" t="s">
        <v>192</v>
      </c>
      <c r="N35" s="2" t="s">
        <v>63</v>
      </c>
      <c r="O35" s="2" t="s">
        <v>34</v>
      </c>
      <c r="P35" s="2">
        <v>5.1111507E7</v>
      </c>
      <c r="Q35" s="2" t="s">
        <v>269</v>
      </c>
      <c r="R35" s="6">
        <v>70.0</v>
      </c>
      <c r="S35" s="2" t="s">
        <v>47</v>
      </c>
      <c r="T35" s="7">
        <v>14144.0</v>
      </c>
      <c r="U35" s="5">
        <v>990080.0</v>
      </c>
      <c r="V35" s="2" t="s">
        <v>319</v>
      </c>
      <c r="W35" s="2" t="s">
        <v>320</v>
      </c>
      <c r="X35" s="2">
        <v>5.1111507E7</v>
      </c>
      <c r="Y35" s="2" t="s">
        <v>191</v>
      </c>
      <c r="Z35" s="2" t="s">
        <v>321</v>
      </c>
    </row>
    <row r="36">
      <c r="A36" s="2" t="s">
        <v>322</v>
      </c>
      <c r="B36" s="3">
        <v>45907.0</v>
      </c>
      <c r="C36" s="2" t="s">
        <v>323</v>
      </c>
      <c r="D36" s="2" t="s">
        <v>324</v>
      </c>
      <c r="E36" s="4">
        <v>424320.0</v>
      </c>
      <c r="F36" s="5">
        <v>0.0</v>
      </c>
      <c r="G36" s="5">
        <v>0.0</v>
      </c>
      <c r="H36" s="5">
        <v>80620.8</v>
      </c>
      <c r="I36" s="5">
        <v>504940.8</v>
      </c>
      <c r="J36" s="2" t="s">
        <v>29</v>
      </c>
      <c r="K36" s="2" t="s">
        <v>190</v>
      </c>
      <c r="L36" s="2" t="s">
        <v>191</v>
      </c>
      <c r="M36" s="2" t="s">
        <v>192</v>
      </c>
      <c r="N36" s="2" t="s">
        <v>63</v>
      </c>
      <c r="O36" s="2" t="s">
        <v>34</v>
      </c>
      <c r="P36" s="2">
        <v>5.1111507E7</v>
      </c>
      <c r="Q36" s="2" t="s">
        <v>269</v>
      </c>
      <c r="R36" s="6">
        <v>30.0</v>
      </c>
      <c r="S36" s="2" t="s">
        <v>47</v>
      </c>
      <c r="T36" s="7">
        <v>14144.0</v>
      </c>
      <c r="U36" s="5">
        <v>424320.0</v>
      </c>
      <c r="V36" s="2" t="s">
        <v>325</v>
      </c>
      <c r="W36" s="2" t="s">
        <v>326</v>
      </c>
      <c r="X36" s="2">
        <v>5.1111507E7</v>
      </c>
      <c r="Y36" s="2" t="s">
        <v>191</v>
      </c>
      <c r="Z36" s="2" t="s">
        <v>327</v>
      </c>
    </row>
    <row r="37">
      <c r="A37" s="2" t="s">
        <v>328</v>
      </c>
      <c r="B37" s="3">
        <v>45876.0</v>
      </c>
      <c r="C37" s="2" t="s">
        <v>329</v>
      </c>
      <c r="D37" s="2" t="s">
        <v>330</v>
      </c>
      <c r="E37" s="4">
        <v>2898000.0</v>
      </c>
      <c r="F37" s="5">
        <v>0.0</v>
      </c>
      <c r="G37" s="5">
        <v>0.0</v>
      </c>
      <c r="H37" s="5">
        <v>550620.0</v>
      </c>
      <c r="I37" s="5">
        <v>3448620.0</v>
      </c>
      <c r="J37" s="2" t="s">
        <v>29</v>
      </c>
      <c r="K37" s="2" t="s">
        <v>60</v>
      </c>
      <c r="L37" s="2" t="s">
        <v>61</v>
      </c>
      <c r="M37" s="2" t="s">
        <v>62</v>
      </c>
      <c r="N37" s="2" t="s">
        <v>63</v>
      </c>
      <c r="O37" s="2" t="s">
        <v>34</v>
      </c>
      <c r="P37" s="2">
        <v>5.1171605E7</v>
      </c>
      <c r="Q37" s="2" t="s">
        <v>331</v>
      </c>
      <c r="R37" s="6">
        <v>210.0</v>
      </c>
      <c r="S37" s="2" t="s">
        <v>332</v>
      </c>
      <c r="T37" s="7">
        <v>13800.0</v>
      </c>
      <c r="U37" s="5">
        <v>2898000.0</v>
      </c>
      <c r="V37" s="2" t="s">
        <v>333</v>
      </c>
      <c r="W37" s="2" t="s">
        <v>334</v>
      </c>
      <c r="X37" s="2">
        <v>5.1171605E7</v>
      </c>
      <c r="Y37" s="2" t="s">
        <v>61</v>
      </c>
      <c r="Z37" s="2" t="s">
        <v>67</v>
      </c>
    </row>
    <row r="38">
      <c r="A38" s="2" t="s">
        <v>335</v>
      </c>
      <c r="B38" s="3">
        <v>45571.0</v>
      </c>
      <c r="C38" s="2" t="s">
        <v>336</v>
      </c>
      <c r="D38" s="2" t="s">
        <v>337</v>
      </c>
      <c r="E38" s="4">
        <v>619200.0</v>
      </c>
      <c r="F38" s="5">
        <v>0.0</v>
      </c>
      <c r="G38" s="5">
        <v>0.0</v>
      </c>
      <c r="H38" s="5">
        <v>117648.0</v>
      </c>
      <c r="I38" s="5">
        <v>736848.0</v>
      </c>
      <c r="J38" s="2" t="s">
        <v>29</v>
      </c>
      <c r="K38" s="2" t="s">
        <v>338</v>
      </c>
      <c r="L38" s="2" t="s">
        <v>339</v>
      </c>
      <c r="M38" s="2" t="s">
        <v>340</v>
      </c>
      <c r="N38" s="2" t="s">
        <v>33</v>
      </c>
      <c r="O38" s="2" t="s">
        <v>34</v>
      </c>
      <c r="P38" s="2">
        <v>5.1141513E7</v>
      </c>
      <c r="Q38" s="2" t="s">
        <v>341</v>
      </c>
      <c r="R38" s="6">
        <v>48.0</v>
      </c>
      <c r="S38" s="2" t="s">
        <v>120</v>
      </c>
      <c r="T38" s="7">
        <v>12900.0</v>
      </c>
      <c r="U38" s="5">
        <v>619200.0</v>
      </c>
      <c r="V38" s="2" t="s">
        <v>342</v>
      </c>
      <c r="W38" s="2" t="s">
        <v>343</v>
      </c>
      <c r="X38" s="2">
        <v>5.1141513E7</v>
      </c>
      <c r="Y38" s="2" t="s">
        <v>339</v>
      </c>
      <c r="Z38" s="2" t="s">
        <v>344</v>
      </c>
    </row>
    <row r="39">
      <c r="A39" s="2" t="s">
        <v>345</v>
      </c>
      <c r="B39" s="3">
        <v>45763.0</v>
      </c>
      <c r="C39" s="8" t="s">
        <v>346</v>
      </c>
      <c r="D39" s="8" t="s">
        <v>347</v>
      </c>
      <c r="E39" s="4">
        <v>1278800.0</v>
      </c>
      <c r="F39" s="5">
        <v>0.0</v>
      </c>
      <c r="G39" s="5">
        <v>0.0</v>
      </c>
      <c r="H39" s="5">
        <v>242972.0</v>
      </c>
      <c r="I39" s="5">
        <v>1521772.0</v>
      </c>
      <c r="J39" s="2" t="s">
        <v>29</v>
      </c>
      <c r="K39" s="2" t="s">
        <v>348</v>
      </c>
      <c r="L39" s="2" t="s">
        <v>349</v>
      </c>
      <c r="M39" s="2" t="s">
        <v>350</v>
      </c>
      <c r="N39" s="2" t="s">
        <v>33</v>
      </c>
      <c r="O39" s="2" t="s">
        <v>34</v>
      </c>
      <c r="P39" s="2">
        <v>5.1191902E7</v>
      </c>
      <c r="Q39" s="2" t="s">
        <v>351</v>
      </c>
      <c r="R39" s="6">
        <v>100.0</v>
      </c>
      <c r="S39" s="2" t="s">
        <v>36</v>
      </c>
      <c r="T39" s="7">
        <v>12788.0</v>
      </c>
      <c r="U39" s="5">
        <v>1278800.0</v>
      </c>
      <c r="V39" s="2" t="s">
        <v>352</v>
      </c>
      <c r="W39" s="2" t="s">
        <v>353</v>
      </c>
      <c r="X39" s="2">
        <v>5.1191902E7</v>
      </c>
      <c r="Y39" s="2" t="s">
        <v>349</v>
      </c>
      <c r="Z39" s="2" t="s">
        <v>354</v>
      </c>
    </row>
    <row r="40">
      <c r="A40" s="2" t="s">
        <v>355</v>
      </c>
      <c r="B40" s="3">
        <v>45679.0</v>
      </c>
      <c r="C40" s="2" t="s">
        <v>356</v>
      </c>
      <c r="D40" s="2" t="s">
        <v>357</v>
      </c>
      <c r="E40" s="4">
        <v>125000.0</v>
      </c>
      <c r="F40" s="5">
        <v>0.0</v>
      </c>
      <c r="G40" s="5">
        <v>0.0</v>
      </c>
      <c r="H40" s="5">
        <v>23750.0</v>
      </c>
      <c r="I40" s="5">
        <v>148750.0</v>
      </c>
      <c r="J40" s="2" t="s">
        <v>29</v>
      </c>
      <c r="K40" s="2" t="s">
        <v>358</v>
      </c>
      <c r="L40" s="2" t="s">
        <v>359</v>
      </c>
      <c r="M40" s="2" t="s">
        <v>360</v>
      </c>
      <c r="N40" s="2" t="s">
        <v>33</v>
      </c>
      <c r="O40" s="2" t="s">
        <v>34</v>
      </c>
      <c r="P40" s="2">
        <v>5.1191902E7</v>
      </c>
      <c r="Q40" s="2" t="s">
        <v>361</v>
      </c>
      <c r="R40" s="6">
        <v>10.0</v>
      </c>
      <c r="S40" s="2" t="s">
        <v>36</v>
      </c>
      <c r="T40" s="7">
        <v>12500.0</v>
      </c>
      <c r="U40" s="5">
        <v>125000.0</v>
      </c>
      <c r="V40" s="2" t="s">
        <v>362</v>
      </c>
      <c r="W40" s="2" t="s">
        <v>363</v>
      </c>
      <c r="X40" s="2">
        <v>5.1191902E7</v>
      </c>
      <c r="Y40" s="2" t="s">
        <v>359</v>
      </c>
      <c r="Z40" s="2" t="s">
        <v>364</v>
      </c>
    </row>
    <row r="41">
      <c r="A41" s="2" t="s">
        <v>365</v>
      </c>
      <c r="B41" s="3">
        <v>45934.0</v>
      </c>
      <c r="C41" s="2" t="s">
        <v>366</v>
      </c>
      <c r="D41" s="2" t="s">
        <v>367</v>
      </c>
      <c r="E41" s="4">
        <v>2750000.0</v>
      </c>
      <c r="F41" s="5">
        <v>0.0</v>
      </c>
      <c r="G41" s="5">
        <v>150000.0</v>
      </c>
      <c r="H41" s="5">
        <v>551000.0</v>
      </c>
      <c r="I41" s="5">
        <v>3451000.0</v>
      </c>
      <c r="J41" s="2" t="s">
        <v>368</v>
      </c>
      <c r="K41" s="2" t="s">
        <v>369</v>
      </c>
      <c r="L41" s="2" t="s">
        <v>370</v>
      </c>
      <c r="M41" s="2" t="s">
        <v>371</v>
      </c>
      <c r="N41" s="2" t="s">
        <v>33</v>
      </c>
      <c r="O41" s="2" t="s">
        <v>34</v>
      </c>
      <c r="P41" s="2">
        <v>5.110271E7</v>
      </c>
      <c r="Q41" s="2" t="s">
        <v>372</v>
      </c>
      <c r="R41" s="6">
        <v>220.0</v>
      </c>
      <c r="S41" s="2" t="s">
        <v>373</v>
      </c>
      <c r="T41" s="7">
        <v>12500.0</v>
      </c>
      <c r="U41" s="5">
        <v>2750000.0</v>
      </c>
      <c r="V41" s="2" t="s">
        <v>374</v>
      </c>
      <c r="W41" s="2" t="s">
        <v>375</v>
      </c>
      <c r="X41" s="2">
        <v>5.110271E7</v>
      </c>
      <c r="Y41" s="2" t="s">
        <v>370</v>
      </c>
      <c r="Z41" s="2" t="s">
        <v>376</v>
      </c>
    </row>
    <row r="42">
      <c r="A42" s="2" t="s">
        <v>377</v>
      </c>
      <c r="B42" s="3">
        <v>45764.0</v>
      </c>
      <c r="C42" s="2" t="s">
        <v>378</v>
      </c>
      <c r="D42" s="2" t="s">
        <v>379</v>
      </c>
      <c r="E42" s="4">
        <v>621900.0</v>
      </c>
      <c r="F42" s="5">
        <v>0.0</v>
      </c>
      <c r="G42" s="5">
        <v>0.0</v>
      </c>
      <c r="H42" s="5">
        <v>118161.0</v>
      </c>
      <c r="I42" s="5">
        <v>740061.0</v>
      </c>
      <c r="J42" s="2" t="s">
        <v>29</v>
      </c>
      <c r="K42" s="2" t="s">
        <v>190</v>
      </c>
      <c r="L42" s="2" t="s">
        <v>191</v>
      </c>
      <c r="M42" s="2" t="s">
        <v>192</v>
      </c>
      <c r="N42" s="2" t="s">
        <v>63</v>
      </c>
      <c r="O42" s="2" t="s">
        <v>34</v>
      </c>
      <c r="P42" s="2">
        <v>5.110153E7</v>
      </c>
      <c r="Q42" s="2" t="s">
        <v>380</v>
      </c>
      <c r="R42" s="6">
        <v>50.0</v>
      </c>
      <c r="S42" s="2" t="s">
        <v>120</v>
      </c>
      <c r="T42" s="7">
        <v>12438.0</v>
      </c>
      <c r="U42" s="5">
        <v>621900.0</v>
      </c>
      <c r="V42" s="2" t="s">
        <v>381</v>
      </c>
      <c r="W42" s="2" t="s">
        <v>382</v>
      </c>
      <c r="X42" s="2">
        <v>5.110153E7</v>
      </c>
      <c r="Y42" s="2" t="s">
        <v>191</v>
      </c>
      <c r="Z42" s="2" t="s">
        <v>383</v>
      </c>
    </row>
    <row r="43">
      <c r="A43" s="2" t="s">
        <v>384</v>
      </c>
      <c r="B43" s="3">
        <v>45856.0</v>
      </c>
      <c r="C43" s="2" t="s">
        <v>385</v>
      </c>
      <c r="D43" s="2" t="s">
        <v>386</v>
      </c>
      <c r="E43" s="4">
        <v>122880.0</v>
      </c>
      <c r="F43" s="5">
        <v>0.0</v>
      </c>
      <c r="G43" s="5">
        <v>0.0</v>
      </c>
      <c r="H43" s="5">
        <v>23347.2</v>
      </c>
      <c r="I43" s="5">
        <v>146227.2</v>
      </c>
      <c r="J43" s="2" t="s">
        <v>29</v>
      </c>
      <c r="K43" s="2" t="s">
        <v>190</v>
      </c>
      <c r="L43" s="2" t="s">
        <v>191</v>
      </c>
      <c r="M43" s="2" t="s">
        <v>192</v>
      </c>
      <c r="N43" s="2" t="s">
        <v>63</v>
      </c>
      <c r="O43" s="2" t="s">
        <v>34</v>
      </c>
      <c r="P43" s="2">
        <v>5.1241114E7</v>
      </c>
      <c r="Q43" s="2" t="s">
        <v>387</v>
      </c>
      <c r="R43" s="6">
        <v>10.0</v>
      </c>
      <c r="S43" s="2" t="s">
        <v>120</v>
      </c>
      <c r="T43" s="7">
        <v>12288.0</v>
      </c>
      <c r="U43" s="5">
        <v>122880.0</v>
      </c>
      <c r="V43" s="2" t="s">
        <v>388</v>
      </c>
      <c r="W43" s="2" t="s">
        <v>389</v>
      </c>
      <c r="X43" s="2">
        <v>5.1241114E7</v>
      </c>
      <c r="Y43" s="2" t="s">
        <v>191</v>
      </c>
      <c r="Z43" s="2" t="s">
        <v>390</v>
      </c>
    </row>
    <row r="44">
      <c r="A44" s="2" t="s">
        <v>391</v>
      </c>
      <c r="B44" s="3">
        <v>45343.0</v>
      </c>
      <c r="C44" s="8" t="s">
        <v>392</v>
      </c>
      <c r="D44" s="2" t="s">
        <v>393</v>
      </c>
      <c r="E44" s="4">
        <v>767360.0</v>
      </c>
      <c r="F44" s="5">
        <v>0.0</v>
      </c>
      <c r="G44" s="5">
        <v>0.0</v>
      </c>
      <c r="H44" s="5">
        <v>145798.4</v>
      </c>
      <c r="I44" s="5">
        <v>913158.4</v>
      </c>
      <c r="J44" s="2" t="s">
        <v>29</v>
      </c>
      <c r="K44" s="2" t="s">
        <v>394</v>
      </c>
      <c r="L44" s="2" t="s">
        <v>395</v>
      </c>
      <c r="M44" s="2" t="s">
        <v>396</v>
      </c>
      <c r="N44" s="2" t="s">
        <v>63</v>
      </c>
      <c r="O44" s="2" t="s">
        <v>34</v>
      </c>
      <c r="P44" s="2">
        <v>5.1191603E7</v>
      </c>
      <c r="Q44" s="2" t="s">
        <v>397</v>
      </c>
      <c r="R44" s="6">
        <v>64.0</v>
      </c>
      <c r="S44" s="2" t="s">
        <v>255</v>
      </c>
      <c r="T44" s="7">
        <v>11990.0</v>
      </c>
      <c r="U44" s="5">
        <v>767360.0</v>
      </c>
      <c r="V44" s="2" t="s">
        <v>398</v>
      </c>
      <c r="W44" s="2" t="s">
        <v>399</v>
      </c>
      <c r="X44" s="2">
        <v>5.1191603E7</v>
      </c>
      <c r="Y44" s="2" t="s">
        <v>395</v>
      </c>
      <c r="Z44" s="2" t="s">
        <v>400</v>
      </c>
    </row>
    <row r="45">
      <c r="A45" s="2" t="s">
        <v>401</v>
      </c>
      <c r="B45" s="3">
        <v>45537.0</v>
      </c>
      <c r="C45" s="2" t="s">
        <v>402</v>
      </c>
      <c r="D45" s="2" t="s">
        <v>403</v>
      </c>
      <c r="E45" s="4">
        <v>220000.0</v>
      </c>
      <c r="F45" s="5">
        <v>0.0</v>
      </c>
      <c r="G45" s="5">
        <v>0.0</v>
      </c>
      <c r="H45" s="5">
        <v>41800.0</v>
      </c>
      <c r="I45" s="5">
        <v>261800.0</v>
      </c>
      <c r="J45" s="2" t="s">
        <v>29</v>
      </c>
      <c r="K45" s="2" t="s">
        <v>404</v>
      </c>
      <c r="L45" s="2" t="s">
        <v>405</v>
      </c>
      <c r="M45" s="2" t="s">
        <v>406</v>
      </c>
      <c r="N45" s="2" t="s">
        <v>33</v>
      </c>
      <c r="O45" s="2" t="s">
        <v>407</v>
      </c>
      <c r="P45" s="2">
        <v>5.1121807E7</v>
      </c>
      <c r="Q45" s="2" t="s">
        <v>408</v>
      </c>
      <c r="R45" s="6">
        <v>20.0</v>
      </c>
      <c r="S45" s="2" t="s">
        <v>80</v>
      </c>
      <c r="T45" s="7">
        <v>11000.0</v>
      </c>
      <c r="U45" s="5">
        <v>220000.0</v>
      </c>
      <c r="V45" s="2" t="s">
        <v>409</v>
      </c>
      <c r="W45" s="2" t="s">
        <v>410</v>
      </c>
      <c r="X45" s="2">
        <v>5.1121807E7</v>
      </c>
      <c r="Y45" s="2" t="s">
        <v>405</v>
      </c>
      <c r="Z45" s="2" t="s">
        <v>411</v>
      </c>
    </row>
    <row r="46">
      <c r="A46" s="2" t="s">
        <v>412</v>
      </c>
      <c r="B46" s="3">
        <v>45499.0</v>
      </c>
      <c r="C46" s="2" t="s">
        <v>413</v>
      </c>
      <c r="D46" s="2" t="s">
        <v>414</v>
      </c>
      <c r="E46" s="4">
        <v>1630950.0</v>
      </c>
      <c r="F46" s="5">
        <v>0.0</v>
      </c>
      <c r="G46" s="5">
        <v>0.0</v>
      </c>
      <c r="H46" s="5">
        <v>309880.5</v>
      </c>
      <c r="I46" s="5">
        <v>1940830.5</v>
      </c>
      <c r="J46" s="2" t="s">
        <v>29</v>
      </c>
      <c r="K46" s="2" t="s">
        <v>30</v>
      </c>
      <c r="L46" s="2" t="s">
        <v>31</v>
      </c>
      <c r="M46" s="2" t="s">
        <v>32</v>
      </c>
      <c r="N46" s="8" t="s">
        <v>33</v>
      </c>
      <c r="O46" s="2" t="s">
        <v>34</v>
      </c>
      <c r="P46" s="2">
        <v>5.1161703E7</v>
      </c>
      <c r="Q46" s="2" t="s">
        <v>415</v>
      </c>
      <c r="R46" s="6">
        <v>150.0</v>
      </c>
      <c r="S46" s="2" t="s">
        <v>36</v>
      </c>
      <c r="T46" s="7">
        <v>10873.0</v>
      </c>
      <c r="U46" s="5">
        <v>1630950.0</v>
      </c>
      <c r="V46" s="2" t="s">
        <v>416</v>
      </c>
      <c r="W46" s="2" t="s">
        <v>417</v>
      </c>
      <c r="X46" s="2">
        <v>5.1161703E7</v>
      </c>
      <c r="Y46" s="2" t="s">
        <v>31</v>
      </c>
      <c r="Z46" s="2" t="s">
        <v>39</v>
      </c>
    </row>
    <row r="47">
      <c r="A47" s="2" t="s">
        <v>418</v>
      </c>
      <c r="B47" s="3">
        <v>45533.0</v>
      </c>
      <c r="C47" s="2" t="s">
        <v>419</v>
      </c>
      <c r="D47" s="2" t="s">
        <v>420</v>
      </c>
      <c r="E47" s="4">
        <v>1087300.0</v>
      </c>
      <c r="F47" s="5">
        <v>0.0</v>
      </c>
      <c r="G47" s="5">
        <v>0.0</v>
      </c>
      <c r="H47" s="5">
        <v>206587.0</v>
      </c>
      <c r="I47" s="5">
        <v>1293887.0</v>
      </c>
      <c r="J47" s="2" t="s">
        <v>29</v>
      </c>
      <c r="K47" s="2" t="s">
        <v>30</v>
      </c>
      <c r="L47" s="2" t="s">
        <v>31</v>
      </c>
      <c r="M47" s="2" t="s">
        <v>32</v>
      </c>
      <c r="N47" s="8" t="s">
        <v>33</v>
      </c>
      <c r="O47" s="2" t="s">
        <v>34</v>
      </c>
      <c r="P47" s="2">
        <v>5.1161703E7</v>
      </c>
      <c r="Q47" s="2" t="s">
        <v>421</v>
      </c>
      <c r="R47" s="6">
        <v>100.0</v>
      </c>
      <c r="S47" s="2" t="s">
        <v>36</v>
      </c>
      <c r="T47" s="7">
        <v>10873.0</v>
      </c>
      <c r="U47" s="5">
        <v>1087300.0</v>
      </c>
      <c r="V47" s="2" t="s">
        <v>422</v>
      </c>
      <c r="W47" s="2" t="s">
        <v>423</v>
      </c>
      <c r="X47" s="2">
        <v>5.1161703E7</v>
      </c>
      <c r="Y47" s="2" t="s">
        <v>31</v>
      </c>
      <c r="Z47" s="2" t="s">
        <v>39</v>
      </c>
    </row>
    <row r="48">
      <c r="A48" s="2" t="s">
        <v>424</v>
      </c>
      <c r="B48" s="3">
        <v>45547.0</v>
      </c>
      <c r="C48" s="2" t="s">
        <v>425</v>
      </c>
      <c r="D48" s="2" t="s">
        <v>426</v>
      </c>
      <c r="E48" s="4">
        <v>257500.0</v>
      </c>
      <c r="F48" s="5">
        <v>0.0</v>
      </c>
      <c r="G48" s="5">
        <v>0.0</v>
      </c>
      <c r="H48" s="5">
        <v>48925.0</v>
      </c>
      <c r="I48" s="5">
        <v>306425.0</v>
      </c>
      <c r="J48" s="2" t="s">
        <v>29</v>
      </c>
      <c r="K48" s="2" t="s">
        <v>427</v>
      </c>
      <c r="L48" s="2" t="s">
        <v>428</v>
      </c>
      <c r="N48" s="8" t="s">
        <v>253</v>
      </c>
      <c r="O48" s="2" t="s">
        <v>34</v>
      </c>
      <c r="P48" s="2">
        <v>5.1142934E7</v>
      </c>
      <c r="Q48" s="2" t="s">
        <v>429</v>
      </c>
      <c r="R48" s="6">
        <v>25.0</v>
      </c>
      <c r="S48" s="2" t="s">
        <v>47</v>
      </c>
      <c r="T48" s="7">
        <v>10300.0</v>
      </c>
      <c r="U48" s="5">
        <v>257500.0</v>
      </c>
      <c r="V48" s="2" t="s">
        <v>430</v>
      </c>
      <c r="W48" s="2" t="s">
        <v>431</v>
      </c>
      <c r="X48" s="2">
        <v>5.1142934E7</v>
      </c>
      <c r="Y48" s="2" t="s">
        <v>428</v>
      </c>
      <c r="Z48" s="2" t="s">
        <v>432</v>
      </c>
    </row>
    <row r="49">
      <c r="A49" s="2" t="s">
        <v>433</v>
      </c>
      <c r="B49" s="3">
        <v>45464.0</v>
      </c>
      <c r="C49" s="2" t="s">
        <v>434</v>
      </c>
      <c r="D49" s="2" t="s">
        <v>435</v>
      </c>
      <c r="E49" s="4">
        <v>720000.0</v>
      </c>
      <c r="F49" s="5">
        <v>0.0</v>
      </c>
      <c r="G49" s="5">
        <v>0.0</v>
      </c>
      <c r="H49" s="5">
        <v>136800.0</v>
      </c>
      <c r="I49" s="5">
        <v>856800.0</v>
      </c>
      <c r="J49" s="2" t="s">
        <v>368</v>
      </c>
      <c r="K49" s="2" t="s">
        <v>436</v>
      </c>
      <c r="L49" s="2" t="s">
        <v>437</v>
      </c>
      <c r="N49" s="2" t="s">
        <v>108</v>
      </c>
      <c r="O49" s="2" t="s">
        <v>34</v>
      </c>
      <c r="P49" s="2">
        <v>4.2281601E7</v>
      </c>
      <c r="Q49" s="2" t="s">
        <v>438</v>
      </c>
      <c r="R49" s="6">
        <v>72.0</v>
      </c>
      <c r="S49" s="2" t="s">
        <v>36</v>
      </c>
      <c r="T49" s="7">
        <v>10000.0</v>
      </c>
      <c r="U49" s="5">
        <v>720000.0</v>
      </c>
      <c r="V49" s="2" t="s">
        <v>439</v>
      </c>
      <c r="W49" s="2" t="s">
        <v>440</v>
      </c>
      <c r="X49" s="2">
        <v>4.2281601E7</v>
      </c>
      <c r="Y49" s="2" t="s">
        <v>437</v>
      </c>
      <c r="Z49" s="2" t="s">
        <v>441</v>
      </c>
    </row>
    <row r="50">
      <c r="A50" s="2" t="s">
        <v>442</v>
      </c>
      <c r="B50" s="3">
        <v>45468.0</v>
      </c>
      <c r="C50" s="2" t="s">
        <v>443</v>
      </c>
      <c r="D50" s="2" t="s">
        <v>444</v>
      </c>
      <c r="E50" s="4">
        <v>600000.0</v>
      </c>
      <c r="F50" s="5">
        <v>0.0</v>
      </c>
      <c r="G50" s="5">
        <v>0.0</v>
      </c>
      <c r="H50" s="5">
        <v>114000.0</v>
      </c>
      <c r="I50" s="5">
        <v>714000.0</v>
      </c>
      <c r="J50" s="2" t="s">
        <v>29</v>
      </c>
      <c r="K50" s="2" t="s">
        <v>170</v>
      </c>
      <c r="L50" s="2" t="s">
        <v>171</v>
      </c>
      <c r="M50" s="2" t="s">
        <v>172</v>
      </c>
      <c r="N50" s="2" t="s">
        <v>33</v>
      </c>
      <c r="O50" s="2" t="s">
        <v>34</v>
      </c>
      <c r="P50" s="2">
        <v>5.1141518E7</v>
      </c>
      <c r="Q50" s="2" t="s">
        <v>445</v>
      </c>
      <c r="R50" s="6">
        <v>60.0</v>
      </c>
      <c r="S50" s="2" t="s">
        <v>120</v>
      </c>
      <c r="T50" s="7">
        <v>10000.0</v>
      </c>
      <c r="U50" s="5">
        <v>600000.0</v>
      </c>
      <c r="V50" s="2" t="s">
        <v>446</v>
      </c>
      <c r="W50" s="2" t="s">
        <v>447</v>
      </c>
      <c r="X50" s="2">
        <v>5.1141518E7</v>
      </c>
      <c r="Y50" s="2" t="s">
        <v>171</v>
      </c>
      <c r="Z50" s="2" t="s">
        <v>448</v>
      </c>
    </row>
    <row r="51">
      <c r="A51" s="2" t="s">
        <v>449</v>
      </c>
      <c r="B51" s="3">
        <v>45625.0</v>
      </c>
      <c r="C51" s="2" t="s">
        <v>450</v>
      </c>
      <c r="D51" s="2" t="s">
        <v>451</v>
      </c>
      <c r="E51" s="4">
        <v>950000.0</v>
      </c>
      <c r="F51" s="5">
        <v>0.0</v>
      </c>
      <c r="G51" s="5">
        <v>0.0</v>
      </c>
      <c r="H51" s="5">
        <v>180500.0</v>
      </c>
      <c r="I51" s="5">
        <v>1130500.0</v>
      </c>
      <c r="J51" s="2" t="s">
        <v>29</v>
      </c>
      <c r="K51" s="2" t="s">
        <v>180</v>
      </c>
      <c r="L51" s="2" t="s">
        <v>181</v>
      </c>
      <c r="M51" s="2" t="s">
        <v>62</v>
      </c>
      <c r="N51" s="8" t="s">
        <v>182</v>
      </c>
      <c r="O51" s="2" t="s">
        <v>34</v>
      </c>
      <c r="P51" s="2">
        <v>5.1151738E7</v>
      </c>
      <c r="Q51" s="2" t="s">
        <v>452</v>
      </c>
      <c r="R51" s="6">
        <v>100.0</v>
      </c>
      <c r="S51" s="2" t="s">
        <v>36</v>
      </c>
      <c r="T51" s="7">
        <v>9500.0</v>
      </c>
      <c r="U51" s="5">
        <v>950000.0</v>
      </c>
      <c r="V51" s="2" t="s">
        <v>453</v>
      </c>
      <c r="W51" s="2" t="s">
        <v>454</v>
      </c>
      <c r="X51" s="2">
        <v>5.1151738E7</v>
      </c>
      <c r="Y51" s="2" t="s">
        <v>181</v>
      </c>
      <c r="Z51" s="2" t="s">
        <v>455</v>
      </c>
    </row>
    <row r="52">
      <c r="A52" s="2" t="s">
        <v>456</v>
      </c>
      <c r="B52" s="3">
        <v>45901.0</v>
      </c>
      <c r="C52" s="8" t="s">
        <v>457</v>
      </c>
      <c r="D52" s="2" t="s">
        <v>458</v>
      </c>
      <c r="E52" s="4">
        <v>762750.0</v>
      </c>
      <c r="F52" s="5">
        <v>0.0</v>
      </c>
      <c r="G52" s="5">
        <v>0.0</v>
      </c>
      <c r="H52" s="5">
        <v>144922.5</v>
      </c>
      <c r="I52" s="5">
        <v>907672.5</v>
      </c>
      <c r="J52" s="2" t="s">
        <v>29</v>
      </c>
      <c r="K52" s="2" t="s">
        <v>301</v>
      </c>
      <c r="L52" s="2" t="s">
        <v>302</v>
      </c>
      <c r="M52" s="2" t="s">
        <v>45</v>
      </c>
      <c r="N52" s="2" t="s">
        <v>63</v>
      </c>
      <c r="O52" s="2" t="s">
        <v>34</v>
      </c>
      <c r="P52" s="2">
        <v>5.1161626E7</v>
      </c>
      <c r="Q52" s="2" t="s">
        <v>216</v>
      </c>
      <c r="R52" s="6">
        <v>90.0</v>
      </c>
      <c r="S52" s="2" t="s">
        <v>141</v>
      </c>
      <c r="T52" s="7">
        <v>8475.0</v>
      </c>
      <c r="U52" s="5">
        <v>762750.0</v>
      </c>
      <c r="V52" s="2" t="s">
        <v>459</v>
      </c>
      <c r="W52" s="2" t="s">
        <v>460</v>
      </c>
      <c r="X52" s="2">
        <v>5.1161626E7</v>
      </c>
      <c r="Y52" s="2" t="s">
        <v>302</v>
      </c>
      <c r="Z52" s="2" t="s">
        <v>461</v>
      </c>
    </row>
    <row r="53">
      <c r="A53" s="2" t="s">
        <v>462</v>
      </c>
      <c r="B53" s="3">
        <v>45440.0</v>
      </c>
      <c r="C53" s="2" t="s">
        <v>463</v>
      </c>
      <c r="D53" s="2" t="s">
        <v>464</v>
      </c>
      <c r="E53" s="4">
        <v>465960.0</v>
      </c>
      <c r="F53" s="5">
        <v>0.0</v>
      </c>
      <c r="G53" s="5">
        <v>0.0</v>
      </c>
      <c r="H53" s="5">
        <v>88532.4</v>
      </c>
      <c r="I53" s="5">
        <v>554492.4</v>
      </c>
      <c r="J53" s="2" t="s">
        <v>29</v>
      </c>
      <c r="K53" s="2" t="s">
        <v>465</v>
      </c>
      <c r="L53" s="2" t="s">
        <v>466</v>
      </c>
      <c r="M53" s="2" t="s">
        <v>467</v>
      </c>
      <c r="N53" s="2" t="s">
        <v>33</v>
      </c>
      <c r="O53" s="2" t="s">
        <v>34</v>
      </c>
      <c r="P53" s="2">
        <v>8.5121902E7</v>
      </c>
      <c r="Q53" s="2" t="s">
        <v>468</v>
      </c>
      <c r="R53" s="6">
        <v>60.0</v>
      </c>
      <c r="S53" s="2" t="s">
        <v>120</v>
      </c>
      <c r="T53" s="7">
        <v>7766.0</v>
      </c>
      <c r="U53" s="5">
        <v>465960.0</v>
      </c>
      <c r="V53" s="2" t="s">
        <v>469</v>
      </c>
      <c r="W53" s="2" t="s">
        <v>470</v>
      </c>
      <c r="X53" s="2">
        <v>8.5121902E7</v>
      </c>
      <c r="Y53" s="2" t="s">
        <v>466</v>
      </c>
      <c r="Z53" s="2" t="s">
        <v>471</v>
      </c>
    </row>
    <row r="54">
      <c r="A54" s="2" t="s">
        <v>472</v>
      </c>
      <c r="B54" s="3">
        <v>45479.0</v>
      </c>
      <c r="C54" s="2" t="s">
        <v>473</v>
      </c>
      <c r="D54" s="2" t="s">
        <v>474</v>
      </c>
      <c r="E54" s="4">
        <v>1327500.0</v>
      </c>
      <c r="F54" s="5">
        <v>0.0</v>
      </c>
      <c r="G54" s="5">
        <v>0.0</v>
      </c>
      <c r="H54" s="5">
        <v>252225.0</v>
      </c>
      <c r="I54" s="5">
        <v>1579725.0</v>
      </c>
      <c r="J54" s="2" t="s">
        <v>368</v>
      </c>
      <c r="K54" s="2" t="s">
        <v>475</v>
      </c>
      <c r="L54" s="2" t="s">
        <v>476</v>
      </c>
      <c r="M54" s="2" t="s">
        <v>477</v>
      </c>
      <c r="N54" s="2" t="s">
        <v>108</v>
      </c>
      <c r="O54" s="2" t="s">
        <v>34</v>
      </c>
      <c r="P54" s="2">
        <v>4.2281711E7</v>
      </c>
      <c r="Q54" s="2" t="s">
        <v>478</v>
      </c>
      <c r="R54" s="6">
        <v>180.0</v>
      </c>
      <c r="S54" s="2" t="s">
        <v>373</v>
      </c>
      <c r="T54" s="7">
        <v>7375.0</v>
      </c>
      <c r="U54" s="5">
        <v>1327500.0</v>
      </c>
      <c r="V54" s="2" t="s">
        <v>479</v>
      </c>
      <c r="W54" s="2" t="s">
        <v>480</v>
      </c>
      <c r="X54" s="2">
        <v>4.2281711E7</v>
      </c>
      <c r="Y54" s="2" t="s">
        <v>476</v>
      </c>
      <c r="Z54" s="2" t="s">
        <v>481</v>
      </c>
    </row>
    <row r="55">
      <c r="A55" s="2" t="s">
        <v>482</v>
      </c>
      <c r="B55" s="3">
        <v>45862.0</v>
      </c>
      <c r="C55" s="2" t="s">
        <v>483</v>
      </c>
      <c r="D55" s="2" t="s">
        <v>484</v>
      </c>
      <c r="E55" s="4">
        <v>423540.0</v>
      </c>
      <c r="F55" s="5">
        <v>0.0</v>
      </c>
      <c r="G55" s="5">
        <v>0.0</v>
      </c>
      <c r="H55" s="5">
        <v>80472.6</v>
      </c>
      <c r="I55" s="5">
        <v>504012.6</v>
      </c>
      <c r="J55" s="2" t="s">
        <v>29</v>
      </c>
      <c r="K55" s="2" t="s">
        <v>485</v>
      </c>
      <c r="L55" s="2" t="s">
        <v>486</v>
      </c>
      <c r="M55" s="2" t="s">
        <v>487</v>
      </c>
      <c r="N55" s="2" t="s">
        <v>33</v>
      </c>
      <c r="O55" s="2" t="s">
        <v>34</v>
      </c>
      <c r="P55" s="2">
        <v>5.1152002E7</v>
      </c>
      <c r="Q55" s="2" t="s">
        <v>488</v>
      </c>
      <c r="R55" s="6">
        <v>60.0</v>
      </c>
      <c r="S55" s="2" t="s">
        <v>80</v>
      </c>
      <c r="T55" s="7">
        <v>7059.0</v>
      </c>
      <c r="U55" s="5">
        <v>423540.0</v>
      </c>
      <c r="V55" s="2" t="s">
        <v>489</v>
      </c>
      <c r="W55" s="2" t="s">
        <v>490</v>
      </c>
      <c r="X55" s="2">
        <v>5.1152002E7</v>
      </c>
      <c r="Y55" s="2" t="s">
        <v>486</v>
      </c>
      <c r="Z55" s="2" t="s">
        <v>491</v>
      </c>
    </row>
    <row r="56">
      <c r="A56" s="2" t="s">
        <v>492</v>
      </c>
      <c r="B56" s="3">
        <v>45917.0</v>
      </c>
      <c r="C56" s="2" t="s">
        <v>493</v>
      </c>
      <c r="D56" s="2" t="s">
        <v>494</v>
      </c>
      <c r="E56" s="4">
        <v>2429700.0</v>
      </c>
      <c r="F56" s="5">
        <v>0.0</v>
      </c>
      <c r="G56" s="5">
        <v>0.0</v>
      </c>
      <c r="H56" s="5">
        <v>461643.0</v>
      </c>
      <c r="I56" s="5">
        <v>2891343.0</v>
      </c>
      <c r="J56" s="2" t="s">
        <v>29</v>
      </c>
      <c r="K56" s="2" t="s">
        <v>495</v>
      </c>
      <c r="L56" s="2" t="s">
        <v>496</v>
      </c>
      <c r="M56" s="2" t="s">
        <v>497</v>
      </c>
      <c r="N56" s="2" t="s">
        <v>33</v>
      </c>
      <c r="O56" s="2" t="s">
        <v>34</v>
      </c>
      <c r="P56" s="2">
        <v>5.124112E7</v>
      </c>
      <c r="Q56" s="2" t="s">
        <v>498</v>
      </c>
      <c r="R56" s="6">
        <v>350.0</v>
      </c>
      <c r="S56" s="2" t="s">
        <v>499</v>
      </c>
      <c r="T56" s="7">
        <v>6942.0</v>
      </c>
      <c r="U56" s="5">
        <v>2429700.0</v>
      </c>
      <c r="V56" s="2" t="s">
        <v>500</v>
      </c>
      <c r="W56" s="2" t="s">
        <v>501</v>
      </c>
      <c r="X56" s="2">
        <v>5.124112E7</v>
      </c>
      <c r="Y56" s="2" t="s">
        <v>496</v>
      </c>
      <c r="Z56" s="2" t="s">
        <v>502</v>
      </c>
    </row>
    <row r="57">
      <c r="A57" s="2" t="s">
        <v>503</v>
      </c>
      <c r="B57" s="3">
        <v>45717.0</v>
      </c>
      <c r="C57" s="2" t="s">
        <v>504</v>
      </c>
      <c r="D57" s="2" t="s">
        <v>505</v>
      </c>
      <c r="E57" s="4">
        <v>3153500.0</v>
      </c>
      <c r="F57" s="5">
        <v>0.0</v>
      </c>
      <c r="G57" s="5">
        <v>0.0</v>
      </c>
      <c r="H57" s="5">
        <v>599165.0</v>
      </c>
      <c r="I57" s="5">
        <v>3752665.0</v>
      </c>
      <c r="J57" s="2" t="s">
        <v>29</v>
      </c>
      <c r="K57" s="2" t="s">
        <v>190</v>
      </c>
      <c r="L57" s="2" t="s">
        <v>191</v>
      </c>
      <c r="M57" s="2" t="s">
        <v>192</v>
      </c>
      <c r="N57" s="2" t="s">
        <v>63</v>
      </c>
      <c r="O57" s="2" t="s">
        <v>34</v>
      </c>
      <c r="P57" s="2">
        <v>5.1141703E7</v>
      </c>
      <c r="Q57" s="2" t="s">
        <v>506</v>
      </c>
      <c r="R57" s="6">
        <v>500.0</v>
      </c>
      <c r="S57" s="2" t="s">
        <v>141</v>
      </c>
      <c r="T57" s="7">
        <v>6307.0</v>
      </c>
      <c r="U57" s="5">
        <v>3153500.0</v>
      </c>
      <c r="V57" s="2" t="s">
        <v>507</v>
      </c>
      <c r="W57" s="2" t="s">
        <v>508</v>
      </c>
      <c r="X57" s="2">
        <v>5.1141703E7</v>
      </c>
      <c r="Y57" s="2" t="s">
        <v>191</v>
      </c>
      <c r="Z57" s="2" t="s">
        <v>509</v>
      </c>
    </row>
    <row r="58">
      <c r="A58" s="2" t="s">
        <v>510</v>
      </c>
      <c r="B58" s="3">
        <v>45531.0</v>
      </c>
      <c r="C58" s="2" t="s">
        <v>511</v>
      </c>
      <c r="D58" s="2" t="s">
        <v>512</v>
      </c>
      <c r="E58" s="4">
        <v>123080.0</v>
      </c>
      <c r="F58" s="5">
        <v>0.0</v>
      </c>
      <c r="G58" s="5">
        <v>0.0</v>
      </c>
      <c r="H58" s="5">
        <v>23385.2</v>
      </c>
      <c r="I58" s="5">
        <v>146465.2</v>
      </c>
      <c r="J58" s="2" t="s">
        <v>29</v>
      </c>
      <c r="K58" s="2" t="s">
        <v>485</v>
      </c>
      <c r="L58" s="2" t="s">
        <v>486</v>
      </c>
      <c r="M58" s="2" t="s">
        <v>487</v>
      </c>
      <c r="N58" s="8" t="s">
        <v>33</v>
      </c>
      <c r="O58" s="2" t="s">
        <v>34</v>
      </c>
      <c r="P58" s="2">
        <v>5.1142232E7</v>
      </c>
      <c r="Q58" s="2" t="s">
        <v>513</v>
      </c>
      <c r="R58" s="6">
        <v>20.0</v>
      </c>
      <c r="S58" s="2" t="s">
        <v>47</v>
      </c>
      <c r="T58" s="7">
        <v>6154.0</v>
      </c>
      <c r="U58" s="5">
        <v>123080.0</v>
      </c>
      <c r="V58" s="2" t="s">
        <v>514</v>
      </c>
      <c r="W58" s="2" t="s">
        <v>515</v>
      </c>
      <c r="X58" s="2">
        <v>5.1142232E7</v>
      </c>
      <c r="Y58" s="2" t="s">
        <v>486</v>
      </c>
      <c r="Z58" s="2" t="s">
        <v>516</v>
      </c>
    </row>
    <row r="59">
      <c r="A59" s="2" t="s">
        <v>517</v>
      </c>
      <c r="B59" s="3">
        <v>45399.0</v>
      </c>
      <c r="C59" s="2" t="s">
        <v>518</v>
      </c>
      <c r="D59" s="2" t="s">
        <v>519</v>
      </c>
      <c r="E59" s="4">
        <v>961600.0</v>
      </c>
      <c r="F59" s="5">
        <v>0.0</v>
      </c>
      <c r="G59" s="5">
        <v>0.0</v>
      </c>
      <c r="H59" s="5">
        <v>182704.0</v>
      </c>
      <c r="I59" s="5">
        <v>1144304.0</v>
      </c>
      <c r="J59" s="2" t="s">
        <v>29</v>
      </c>
      <c r="K59" s="2" t="s">
        <v>106</v>
      </c>
      <c r="L59" s="2" t="s">
        <v>107</v>
      </c>
      <c r="N59" s="2" t="s">
        <v>108</v>
      </c>
      <c r="O59" s="2" t="s">
        <v>34</v>
      </c>
      <c r="P59" s="2">
        <v>5.1241115E7</v>
      </c>
      <c r="Q59" s="2" t="s">
        <v>520</v>
      </c>
      <c r="R59" s="6">
        <v>160.0</v>
      </c>
      <c r="S59" s="2" t="s">
        <v>120</v>
      </c>
      <c r="T59" s="7">
        <v>6010.0</v>
      </c>
      <c r="U59" s="5">
        <v>961600.0</v>
      </c>
      <c r="V59" s="2" t="s">
        <v>521</v>
      </c>
      <c r="W59" s="2" t="s">
        <v>522</v>
      </c>
      <c r="X59" s="2">
        <v>5.1241115E7</v>
      </c>
      <c r="Y59" s="2" t="s">
        <v>107</v>
      </c>
      <c r="Z59" s="2" t="s">
        <v>523</v>
      </c>
    </row>
    <row r="60">
      <c r="A60" s="2" t="s">
        <v>524</v>
      </c>
      <c r="B60" s="3">
        <v>45548.0</v>
      </c>
      <c r="C60" s="2" t="s">
        <v>525</v>
      </c>
      <c r="D60" s="2" t="s">
        <v>526</v>
      </c>
      <c r="E60" s="4">
        <v>120000.0</v>
      </c>
      <c r="F60" s="5">
        <v>0.0</v>
      </c>
      <c r="G60" s="5">
        <v>0.0</v>
      </c>
      <c r="H60" s="5">
        <v>22800.0</v>
      </c>
      <c r="I60" s="5">
        <v>142800.0</v>
      </c>
      <c r="J60" s="2" t="s">
        <v>29</v>
      </c>
      <c r="K60" s="2" t="s">
        <v>527</v>
      </c>
      <c r="L60" s="2" t="s">
        <v>528</v>
      </c>
      <c r="M60" s="2" t="s">
        <v>45</v>
      </c>
      <c r="N60" s="8" t="s">
        <v>33</v>
      </c>
      <c r="O60" s="2" t="s">
        <v>34</v>
      </c>
      <c r="P60" s="2">
        <v>5.1191905E7</v>
      </c>
      <c r="Q60" s="2" t="s">
        <v>313</v>
      </c>
      <c r="R60" s="6">
        <v>20.0</v>
      </c>
      <c r="S60" s="2" t="s">
        <v>120</v>
      </c>
      <c r="T60" s="7">
        <v>6000.0</v>
      </c>
      <c r="U60" s="5">
        <v>120000.0</v>
      </c>
      <c r="V60" s="2" t="s">
        <v>529</v>
      </c>
      <c r="W60" s="2" t="s">
        <v>315</v>
      </c>
      <c r="X60" s="2">
        <v>5.1191905E7</v>
      </c>
      <c r="Y60" s="2" t="s">
        <v>528</v>
      </c>
      <c r="Z60" s="2" t="s">
        <v>530</v>
      </c>
    </row>
    <row r="61">
      <c r="A61" s="2" t="s">
        <v>531</v>
      </c>
      <c r="B61" s="3">
        <v>45825.0</v>
      </c>
      <c r="C61" s="2" t="s">
        <v>532</v>
      </c>
      <c r="D61" s="2" t="s">
        <v>533</v>
      </c>
      <c r="E61" s="4">
        <v>180000.0</v>
      </c>
      <c r="F61" s="5">
        <v>0.0</v>
      </c>
      <c r="G61" s="5">
        <v>0.0</v>
      </c>
      <c r="H61" s="5">
        <v>34200.0</v>
      </c>
      <c r="I61" s="5">
        <v>214200.0</v>
      </c>
      <c r="J61" s="2" t="s">
        <v>29</v>
      </c>
      <c r="K61" s="2" t="s">
        <v>527</v>
      </c>
      <c r="L61" s="2" t="s">
        <v>528</v>
      </c>
      <c r="M61" s="2" t="s">
        <v>45</v>
      </c>
      <c r="N61" s="2" t="s">
        <v>33</v>
      </c>
      <c r="O61" s="2" t="s">
        <v>34</v>
      </c>
      <c r="P61" s="2">
        <v>5.1191905E7</v>
      </c>
      <c r="Q61" s="2" t="s">
        <v>534</v>
      </c>
      <c r="R61" s="6">
        <v>30.0</v>
      </c>
      <c r="S61" s="2" t="s">
        <v>120</v>
      </c>
      <c r="T61" s="7">
        <v>6000.0</v>
      </c>
      <c r="U61" s="5">
        <v>180000.0</v>
      </c>
      <c r="V61" s="2" t="s">
        <v>535</v>
      </c>
      <c r="W61" s="2" t="s">
        <v>536</v>
      </c>
      <c r="X61" s="2">
        <v>5.1191905E7</v>
      </c>
      <c r="Y61" s="2" t="s">
        <v>528</v>
      </c>
      <c r="Z61" s="2" t="s">
        <v>537</v>
      </c>
    </row>
    <row r="62">
      <c r="A62" s="2" t="s">
        <v>538</v>
      </c>
      <c r="B62" s="3">
        <v>45605.0</v>
      </c>
      <c r="C62" s="2" t="s">
        <v>539</v>
      </c>
      <c r="D62" s="2" t="s">
        <v>540</v>
      </c>
      <c r="E62" s="4">
        <v>344160.0</v>
      </c>
      <c r="F62" s="5">
        <v>0.0</v>
      </c>
      <c r="G62" s="5">
        <v>0.0</v>
      </c>
      <c r="H62" s="5">
        <v>65390.4</v>
      </c>
      <c r="I62" s="5">
        <v>409550.4</v>
      </c>
      <c r="J62" s="2" t="s">
        <v>368</v>
      </c>
      <c r="K62" s="2" t="s">
        <v>541</v>
      </c>
      <c r="L62" s="2" t="s">
        <v>542</v>
      </c>
      <c r="M62" s="2" t="s">
        <v>543</v>
      </c>
      <c r="N62" s="8" t="s">
        <v>33</v>
      </c>
      <c r="O62" s="2" t="s">
        <v>34</v>
      </c>
      <c r="P62" s="2">
        <v>5.1102707E7</v>
      </c>
      <c r="Q62" s="2" t="s">
        <v>544</v>
      </c>
      <c r="R62" s="6">
        <v>60.0</v>
      </c>
      <c r="S62" s="2" t="s">
        <v>120</v>
      </c>
      <c r="T62" s="7">
        <v>5736.0</v>
      </c>
      <c r="U62" s="5">
        <v>344160.0</v>
      </c>
      <c r="V62" s="2" t="s">
        <v>545</v>
      </c>
      <c r="W62" s="2" t="s">
        <v>546</v>
      </c>
      <c r="X62" s="2">
        <v>5.1102707E7</v>
      </c>
      <c r="Y62" s="2" t="s">
        <v>542</v>
      </c>
      <c r="Z62" s="2" t="s">
        <v>547</v>
      </c>
    </row>
    <row r="63">
      <c r="A63" s="2" t="s">
        <v>548</v>
      </c>
      <c r="B63" s="3">
        <v>45511.0</v>
      </c>
      <c r="C63" s="2" t="s">
        <v>549</v>
      </c>
      <c r="D63" s="2" t="s">
        <v>550</v>
      </c>
      <c r="E63" s="4">
        <v>1581440.0</v>
      </c>
      <c r="F63" s="5">
        <v>0.0</v>
      </c>
      <c r="G63" s="5">
        <v>0.0</v>
      </c>
      <c r="H63" s="5">
        <v>300473.6</v>
      </c>
      <c r="I63" s="5">
        <v>1881913.6</v>
      </c>
      <c r="J63" s="2" t="s">
        <v>29</v>
      </c>
      <c r="K63" s="2" t="s">
        <v>348</v>
      </c>
      <c r="L63" s="2" t="s">
        <v>349</v>
      </c>
      <c r="M63" s="2" t="s">
        <v>350</v>
      </c>
      <c r="N63" s="8" t="s">
        <v>33</v>
      </c>
      <c r="O63" s="2" t="s">
        <v>34</v>
      </c>
      <c r="P63" s="2">
        <v>5.1191905E7</v>
      </c>
      <c r="Q63" s="2" t="s">
        <v>551</v>
      </c>
      <c r="R63" s="6">
        <v>280.0</v>
      </c>
      <c r="S63" s="2" t="s">
        <v>36</v>
      </c>
      <c r="T63" s="7">
        <v>5648.0</v>
      </c>
      <c r="U63" s="5">
        <v>1581440.0</v>
      </c>
      <c r="V63" s="2" t="s">
        <v>552</v>
      </c>
      <c r="W63" s="2" t="s">
        <v>553</v>
      </c>
      <c r="X63" s="2">
        <v>5.1191905E7</v>
      </c>
      <c r="Y63" s="2" t="s">
        <v>349</v>
      </c>
      <c r="Z63" s="2" t="s">
        <v>554</v>
      </c>
    </row>
    <row r="64">
      <c r="A64" s="2" t="s">
        <v>555</v>
      </c>
      <c r="B64" s="3">
        <v>45423.0</v>
      </c>
      <c r="C64" s="2" t="s">
        <v>556</v>
      </c>
      <c r="D64" s="2" t="s">
        <v>557</v>
      </c>
      <c r="E64" s="4">
        <v>564700.0</v>
      </c>
      <c r="F64" s="5">
        <v>0.0</v>
      </c>
      <c r="G64" s="5">
        <v>0.0</v>
      </c>
      <c r="H64" s="5">
        <v>107293.0</v>
      </c>
      <c r="I64" s="5">
        <v>671993.0</v>
      </c>
      <c r="J64" s="2" t="s">
        <v>29</v>
      </c>
      <c r="K64" s="2" t="s">
        <v>348</v>
      </c>
      <c r="L64" s="2" t="s">
        <v>349</v>
      </c>
      <c r="M64" s="2" t="s">
        <v>350</v>
      </c>
      <c r="N64" s="8" t="s">
        <v>33</v>
      </c>
      <c r="O64" s="2" t="s">
        <v>34</v>
      </c>
      <c r="P64" s="2">
        <v>5.1191905E7</v>
      </c>
      <c r="Q64" s="2" t="s">
        <v>551</v>
      </c>
      <c r="R64" s="6">
        <v>100.0</v>
      </c>
      <c r="S64" s="2" t="s">
        <v>36</v>
      </c>
      <c r="T64" s="7">
        <v>5647.0</v>
      </c>
      <c r="U64" s="5">
        <v>564700.0</v>
      </c>
      <c r="V64" s="2" t="s">
        <v>558</v>
      </c>
      <c r="W64" s="2" t="s">
        <v>553</v>
      </c>
      <c r="X64" s="2">
        <v>5.1191905E7</v>
      </c>
      <c r="Y64" s="2" t="s">
        <v>349</v>
      </c>
      <c r="Z64" s="2" t="s">
        <v>559</v>
      </c>
    </row>
    <row r="65">
      <c r="A65" s="2" t="s">
        <v>560</v>
      </c>
      <c r="B65" s="3">
        <v>45342.0</v>
      </c>
      <c r="C65" s="2" t="s">
        <v>561</v>
      </c>
      <c r="D65" s="2" t="s">
        <v>562</v>
      </c>
      <c r="E65" s="4">
        <v>970920.0</v>
      </c>
      <c r="F65" s="5">
        <v>0.0</v>
      </c>
      <c r="G65" s="5">
        <v>0.0</v>
      </c>
      <c r="H65" s="5">
        <v>184474.8</v>
      </c>
      <c r="I65" s="5">
        <v>1155394.8</v>
      </c>
      <c r="J65" s="2" t="s">
        <v>29</v>
      </c>
      <c r="K65" s="2" t="s">
        <v>563</v>
      </c>
      <c r="L65" s="2" t="s">
        <v>564</v>
      </c>
      <c r="M65" s="2" t="s">
        <v>45</v>
      </c>
      <c r="N65" s="2" t="s">
        <v>33</v>
      </c>
      <c r="O65" s="2" t="s">
        <v>34</v>
      </c>
      <c r="P65" s="2">
        <v>5.1181722E7</v>
      </c>
      <c r="Q65" s="2" t="s">
        <v>565</v>
      </c>
      <c r="R65" s="6">
        <v>180.0</v>
      </c>
      <c r="S65" s="2" t="s">
        <v>120</v>
      </c>
      <c r="T65" s="7">
        <v>5394.0</v>
      </c>
      <c r="U65" s="5">
        <v>970920.0</v>
      </c>
      <c r="V65" s="2" t="s">
        <v>566</v>
      </c>
      <c r="W65" s="2" t="s">
        <v>567</v>
      </c>
      <c r="X65" s="2">
        <v>5.1181722E7</v>
      </c>
      <c r="Y65" s="2" t="s">
        <v>564</v>
      </c>
      <c r="Z65" s="2" t="s">
        <v>568</v>
      </c>
    </row>
    <row r="66">
      <c r="A66" s="2" t="s">
        <v>569</v>
      </c>
      <c r="B66" s="3">
        <v>45761.0</v>
      </c>
      <c r="C66" s="2" t="s">
        <v>570</v>
      </c>
      <c r="D66" s="2" t="s">
        <v>571</v>
      </c>
      <c r="E66" s="4">
        <v>303540.0</v>
      </c>
      <c r="F66" s="5">
        <v>0.0</v>
      </c>
      <c r="G66" s="5">
        <v>0.0</v>
      </c>
      <c r="H66" s="5">
        <v>57672.6</v>
      </c>
      <c r="I66" s="5">
        <v>361212.6</v>
      </c>
      <c r="J66" s="2" t="s">
        <v>29</v>
      </c>
      <c r="K66" s="2" t="s">
        <v>60</v>
      </c>
      <c r="L66" s="2" t="s">
        <v>61</v>
      </c>
      <c r="M66" s="2" t="s">
        <v>62</v>
      </c>
      <c r="N66" s="2" t="s">
        <v>63</v>
      </c>
      <c r="O66" s="2" t="s">
        <v>34</v>
      </c>
      <c r="P66" s="2">
        <v>5.1141725E7</v>
      </c>
      <c r="Q66" s="2" t="s">
        <v>572</v>
      </c>
      <c r="R66" s="6">
        <v>60.0</v>
      </c>
      <c r="S66" s="2" t="s">
        <v>573</v>
      </c>
      <c r="T66" s="7">
        <v>5059.0</v>
      </c>
      <c r="U66" s="5">
        <v>303540.0</v>
      </c>
      <c r="V66" s="2" t="s">
        <v>574</v>
      </c>
      <c r="W66" s="2" t="s">
        <v>575</v>
      </c>
      <c r="X66" s="2">
        <v>5.1141725E7</v>
      </c>
      <c r="Y66" s="2" t="s">
        <v>61</v>
      </c>
      <c r="Z66" s="2" t="s">
        <v>67</v>
      </c>
    </row>
    <row r="67">
      <c r="A67" s="2" t="s">
        <v>576</v>
      </c>
      <c r="B67" s="3">
        <v>45376.0</v>
      </c>
      <c r="C67" s="2" t="s">
        <v>577</v>
      </c>
      <c r="D67" s="2" t="s">
        <v>578</v>
      </c>
      <c r="E67" s="4">
        <v>242500.0</v>
      </c>
      <c r="F67" s="5">
        <v>0.0</v>
      </c>
      <c r="G67" s="5">
        <v>55000.0</v>
      </c>
      <c r="H67" s="5">
        <v>56525.0</v>
      </c>
      <c r="I67" s="5">
        <v>354025.0</v>
      </c>
      <c r="J67" s="2" t="s">
        <v>368</v>
      </c>
      <c r="K67" s="2" t="s">
        <v>369</v>
      </c>
      <c r="L67" s="2" t="s">
        <v>370</v>
      </c>
      <c r="M67" s="2" t="s">
        <v>371</v>
      </c>
      <c r="N67" s="2" t="s">
        <v>33</v>
      </c>
      <c r="O67" s="2" t="s">
        <v>34</v>
      </c>
      <c r="P67" s="2">
        <v>1.2191601E7</v>
      </c>
      <c r="Q67" s="2" t="s">
        <v>579</v>
      </c>
      <c r="R67" s="6">
        <v>50.0</v>
      </c>
      <c r="S67" s="2" t="s">
        <v>120</v>
      </c>
      <c r="T67" s="7">
        <v>4850.0</v>
      </c>
      <c r="U67" s="5">
        <v>242500.0</v>
      </c>
      <c r="V67" s="2" t="s">
        <v>580</v>
      </c>
      <c r="W67" s="2" t="s">
        <v>581</v>
      </c>
      <c r="X67" s="2">
        <v>1.2191601E7</v>
      </c>
      <c r="Y67" s="2" t="s">
        <v>370</v>
      </c>
      <c r="Z67" s="2" t="s">
        <v>582</v>
      </c>
    </row>
    <row r="68">
      <c r="A68" s="2" t="s">
        <v>583</v>
      </c>
      <c r="B68" s="3">
        <v>45661.0</v>
      </c>
      <c r="C68" s="2" t="s">
        <v>584</v>
      </c>
      <c r="D68" s="2" t="s">
        <v>585</v>
      </c>
      <c r="E68" s="4">
        <v>567600.0</v>
      </c>
      <c r="F68" s="5">
        <v>0.0</v>
      </c>
      <c r="G68" s="5">
        <v>0.0</v>
      </c>
      <c r="H68" s="5">
        <v>107844.0</v>
      </c>
      <c r="I68" s="5">
        <v>675444.0</v>
      </c>
      <c r="J68" s="2" t="s">
        <v>29</v>
      </c>
      <c r="K68" s="2" t="s">
        <v>338</v>
      </c>
      <c r="L68" s="2" t="s">
        <v>339</v>
      </c>
      <c r="M68" s="2" t="s">
        <v>340</v>
      </c>
      <c r="N68" s="2" t="s">
        <v>33</v>
      </c>
      <c r="O68" s="2" t="s">
        <v>34</v>
      </c>
      <c r="P68" s="2">
        <v>5.1142601E7</v>
      </c>
      <c r="Q68" s="2" t="s">
        <v>586</v>
      </c>
      <c r="R68" s="6">
        <v>120.0</v>
      </c>
      <c r="S68" s="2" t="s">
        <v>141</v>
      </c>
      <c r="T68" s="7">
        <v>4730.0</v>
      </c>
      <c r="U68" s="5">
        <v>567600.0</v>
      </c>
      <c r="V68" s="2" t="s">
        <v>587</v>
      </c>
      <c r="W68" s="2" t="s">
        <v>588</v>
      </c>
      <c r="X68" s="2">
        <v>5.1142601E7</v>
      </c>
      <c r="Y68" s="2" t="s">
        <v>339</v>
      </c>
      <c r="Z68" s="2" t="s">
        <v>589</v>
      </c>
    </row>
    <row r="69">
      <c r="A69" s="2" t="s">
        <v>590</v>
      </c>
      <c r="B69" s="3">
        <v>45750.0</v>
      </c>
      <c r="C69" s="2" t="s">
        <v>591</v>
      </c>
      <c r="D69" s="2" t="s">
        <v>592</v>
      </c>
      <c r="E69" s="4">
        <v>681450.0</v>
      </c>
      <c r="F69" s="5">
        <v>0.0</v>
      </c>
      <c r="G69" s="5">
        <v>0.0</v>
      </c>
      <c r="H69" s="5">
        <v>129475.5</v>
      </c>
      <c r="I69" s="5">
        <v>810925.5</v>
      </c>
      <c r="J69" s="2" t="s">
        <v>368</v>
      </c>
      <c r="K69" s="2" t="s">
        <v>593</v>
      </c>
      <c r="L69" s="2" t="s">
        <v>594</v>
      </c>
      <c r="M69" s="2" t="s">
        <v>595</v>
      </c>
      <c r="N69" s="2" t="s">
        <v>33</v>
      </c>
      <c r="O69" s="2" t="s">
        <v>34</v>
      </c>
      <c r="P69" s="2">
        <v>4.2281601E7</v>
      </c>
      <c r="Q69" s="2" t="s">
        <v>596</v>
      </c>
      <c r="R69" s="6">
        <v>150.0</v>
      </c>
      <c r="S69" s="2" t="s">
        <v>36</v>
      </c>
      <c r="T69" s="7">
        <v>4543.0</v>
      </c>
      <c r="U69" s="5">
        <v>681450.0</v>
      </c>
      <c r="V69" s="2" t="s">
        <v>597</v>
      </c>
      <c r="W69" s="2" t="s">
        <v>598</v>
      </c>
      <c r="X69" s="2">
        <v>4.2281601E7</v>
      </c>
      <c r="Y69" s="2" t="s">
        <v>594</v>
      </c>
      <c r="Z69" s="2" t="s">
        <v>599</v>
      </c>
    </row>
    <row r="70">
      <c r="A70" s="2" t="s">
        <v>600</v>
      </c>
      <c r="B70" s="3">
        <v>45866.0</v>
      </c>
      <c r="C70" s="2" t="s">
        <v>601</v>
      </c>
      <c r="D70" s="2" t="s">
        <v>602</v>
      </c>
      <c r="E70" s="4">
        <v>135000.0</v>
      </c>
      <c r="F70" s="5">
        <v>0.0</v>
      </c>
      <c r="G70" s="5">
        <v>0.0</v>
      </c>
      <c r="H70" s="5">
        <v>25650.0</v>
      </c>
      <c r="I70" s="5">
        <v>160650.0</v>
      </c>
      <c r="J70" s="2" t="s">
        <v>368</v>
      </c>
      <c r="K70" s="2" t="s">
        <v>475</v>
      </c>
      <c r="L70" s="2" t="s">
        <v>476</v>
      </c>
      <c r="M70" s="2" t="s">
        <v>477</v>
      </c>
      <c r="N70" s="2" t="s">
        <v>108</v>
      </c>
      <c r="O70" s="2" t="s">
        <v>34</v>
      </c>
      <c r="P70" s="2">
        <v>5.1171608E7</v>
      </c>
      <c r="Q70" s="2" t="s">
        <v>603</v>
      </c>
      <c r="R70" s="6">
        <v>30.0</v>
      </c>
      <c r="S70" s="2" t="s">
        <v>332</v>
      </c>
      <c r="T70" s="7">
        <v>4500.0</v>
      </c>
      <c r="U70" s="5">
        <v>135000.0</v>
      </c>
      <c r="V70" s="2" t="s">
        <v>604</v>
      </c>
      <c r="W70" s="2" t="s">
        <v>605</v>
      </c>
      <c r="X70" s="2">
        <v>5.1171608E7</v>
      </c>
      <c r="Y70" s="2" t="s">
        <v>476</v>
      </c>
      <c r="Z70" s="2" t="s">
        <v>606</v>
      </c>
    </row>
    <row r="71">
      <c r="A71" s="2" t="s">
        <v>607</v>
      </c>
      <c r="B71" s="3">
        <v>45805.0</v>
      </c>
      <c r="C71" s="2" t="s">
        <v>608</v>
      </c>
      <c r="D71" s="2" t="s">
        <v>609</v>
      </c>
      <c r="E71" s="4">
        <v>435900.0</v>
      </c>
      <c r="F71" s="5">
        <v>0.0</v>
      </c>
      <c r="G71" s="5">
        <v>0.0</v>
      </c>
      <c r="H71" s="5">
        <v>82821.0</v>
      </c>
      <c r="I71" s="5">
        <v>518721.0</v>
      </c>
      <c r="J71" s="2" t="s">
        <v>29</v>
      </c>
      <c r="K71" s="2" t="s">
        <v>610</v>
      </c>
      <c r="L71" s="2" t="s">
        <v>611</v>
      </c>
      <c r="N71" s="2" t="s">
        <v>612</v>
      </c>
      <c r="O71" s="2" t="s">
        <v>34</v>
      </c>
      <c r="P71" s="2">
        <v>5.1191905E7</v>
      </c>
      <c r="Q71" s="2" t="s">
        <v>613</v>
      </c>
      <c r="R71" s="6">
        <v>100.0</v>
      </c>
      <c r="S71" s="2" t="s">
        <v>80</v>
      </c>
      <c r="T71" s="7">
        <v>4359.0</v>
      </c>
      <c r="U71" s="5">
        <v>435900.0</v>
      </c>
      <c r="V71" s="2" t="s">
        <v>614</v>
      </c>
      <c r="W71" s="2" t="s">
        <v>615</v>
      </c>
      <c r="X71" s="2">
        <v>5.1191905E7</v>
      </c>
      <c r="Y71" s="2" t="s">
        <v>611</v>
      </c>
      <c r="Z71" s="2" t="s">
        <v>616</v>
      </c>
    </row>
    <row r="72">
      <c r="A72" s="2" t="s">
        <v>617</v>
      </c>
      <c r="B72" s="3">
        <v>45364.0</v>
      </c>
      <c r="C72" s="8" t="s">
        <v>618</v>
      </c>
      <c r="D72" s="2" t="s">
        <v>619</v>
      </c>
      <c r="E72" s="4">
        <v>88200.0</v>
      </c>
      <c r="F72" s="5">
        <v>0.0</v>
      </c>
      <c r="G72" s="5">
        <v>0.0</v>
      </c>
      <c r="H72" s="5">
        <v>16758.0</v>
      </c>
      <c r="I72" s="5">
        <v>104958.0</v>
      </c>
      <c r="J72" s="2" t="s">
        <v>29</v>
      </c>
      <c r="K72" s="2" t="s">
        <v>620</v>
      </c>
      <c r="L72" s="2" t="s">
        <v>621</v>
      </c>
      <c r="M72" s="2" t="s">
        <v>622</v>
      </c>
      <c r="N72" s="2" t="s">
        <v>33</v>
      </c>
      <c r="O72" s="2" t="s">
        <v>623</v>
      </c>
      <c r="P72" s="2">
        <v>5.1191905E7</v>
      </c>
      <c r="Q72" s="2" t="s">
        <v>624</v>
      </c>
      <c r="R72" s="6">
        <v>21.0</v>
      </c>
      <c r="S72" s="2" t="s">
        <v>120</v>
      </c>
      <c r="T72" s="7">
        <v>4200.0</v>
      </c>
      <c r="U72" s="5">
        <v>88200.0</v>
      </c>
      <c r="V72" s="2" t="s">
        <v>625</v>
      </c>
      <c r="W72" s="2" t="s">
        <v>626</v>
      </c>
      <c r="X72" s="2">
        <v>5.1191905E7</v>
      </c>
      <c r="Y72" s="2" t="s">
        <v>621</v>
      </c>
      <c r="Z72" s="2" t="s">
        <v>627</v>
      </c>
    </row>
    <row r="73">
      <c r="A73" s="2" t="s">
        <v>628</v>
      </c>
      <c r="B73" s="3">
        <v>45907.0</v>
      </c>
      <c r="C73" s="2" t="s">
        <v>629</v>
      </c>
      <c r="D73" s="2" t="s">
        <v>630</v>
      </c>
      <c r="E73" s="4">
        <v>824100.0</v>
      </c>
      <c r="F73" s="5">
        <v>0.0</v>
      </c>
      <c r="G73" s="5">
        <v>0.0</v>
      </c>
      <c r="H73" s="5">
        <v>156579.0</v>
      </c>
      <c r="I73" s="5">
        <v>980679.0</v>
      </c>
      <c r="J73" s="2" t="s">
        <v>29</v>
      </c>
      <c r="K73" s="2" t="s">
        <v>97</v>
      </c>
      <c r="L73" s="2" t="s">
        <v>98</v>
      </c>
      <c r="M73" s="2" t="s">
        <v>32</v>
      </c>
      <c r="N73" s="2" t="s">
        <v>63</v>
      </c>
      <c r="O73" s="2" t="s">
        <v>34</v>
      </c>
      <c r="P73" s="2">
        <v>5.1142148E7</v>
      </c>
      <c r="Q73" s="2" t="s">
        <v>631</v>
      </c>
      <c r="R73" s="6">
        <v>201.0</v>
      </c>
      <c r="S73" s="2" t="s">
        <v>632</v>
      </c>
      <c r="T73" s="7">
        <v>4100.0</v>
      </c>
      <c r="U73" s="5">
        <v>824100.0</v>
      </c>
      <c r="V73" s="2" t="s">
        <v>633</v>
      </c>
      <c r="W73" s="2" t="s">
        <v>634</v>
      </c>
      <c r="X73" s="2">
        <v>5.1142148E7</v>
      </c>
      <c r="Y73" s="2" t="s">
        <v>98</v>
      </c>
      <c r="Z73" s="2" t="s">
        <v>635</v>
      </c>
    </row>
    <row r="74">
      <c r="A74" s="2" t="s">
        <v>636</v>
      </c>
      <c r="B74" s="3">
        <v>45811.0</v>
      </c>
      <c r="C74" s="2" t="s">
        <v>637</v>
      </c>
      <c r="D74" s="2" t="s">
        <v>638</v>
      </c>
      <c r="E74" s="4">
        <v>1628000.0</v>
      </c>
      <c r="F74" s="5">
        <v>0.0</v>
      </c>
      <c r="G74" s="5">
        <v>0.0</v>
      </c>
      <c r="H74" s="5">
        <v>309320.0</v>
      </c>
      <c r="I74" s="5">
        <v>1937320.0</v>
      </c>
      <c r="J74" s="2" t="s">
        <v>29</v>
      </c>
      <c r="K74" s="2" t="s">
        <v>127</v>
      </c>
      <c r="L74" s="2" t="s">
        <v>128</v>
      </c>
      <c r="M74" s="2" t="s">
        <v>129</v>
      </c>
      <c r="N74" s="2" t="s">
        <v>108</v>
      </c>
      <c r="O74" s="2" t="s">
        <v>34</v>
      </c>
      <c r="P74" s="2">
        <v>8.5121902E7</v>
      </c>
      <c r="Q74" s="2" t="s">
        <v>639</v>
      </c>
      <c r="R74" s="6">
        <v>400.0</v>
      </c>
      <c r="S74" s="2" t="s">
        <v>80</v>
      </c>
      <c r="T74" s="7">
        <v>4070.0</v>
      </c>
      <c r="U74" s="5">
        <v>1628000.0</v>
      </c>
      <c r="V74" s="2" t="s">
        <v>640</v>
      </c>
      <c r="W74" s="2" t="s">
        <v>641</v>
      </c>
      <c r="X74" s="2">
        <v>8.5121902E7</v>
      </c>
      <c r="Y74" s="2" t="s">
        <v>128</v>
      </c>
      <c r="Z74" s="2" t="s">
        <v>642</v>
      </c>
    </row>
    <row r="75">
      <c r="A75" s="2" t="s">
        <v>643</v>
      </c>
      <c r="B75" s="3">
        <v>45321.0</v>
      </c>
      <c r="C75" s="2" t="s">
        <v>644</v>
      </c>
      <c r="D75" s="2" t="s">
        <v>645</v>
      </c>
      <c r="E75" s="4">
        <v>1124200.0</v>
      </c>
      <c r="F75" s="5">
        <v>0.0</v>
      </c>
      <c r="G75" s="5">
        <v>0.0</v>
      </c>
      <c r="H75" s="5">
        <v>213598.0</v>
      </c>
      <c r="I75" s="5">
        <v>1337798.0</v>
      </c>
      <c r="J75" s="2" t="s">
        <v>368</v>
      </c>
      <c r="K75" s="2" t="s">
        <v>541</v>
      </c>
      <c r="L75" s="2" t="s">
        <v>542</v>
      </c>
      <c r="M75" s="2" t="s">
        <v>543</v>
      </c>
      <c r="N75" s="2" t="s">
        <v>33</v>
      </c>
      <c r="O75" s="2" t="s">
        <v>34</v>
      </c>
      <c r="P75" s="2">
        <v>5.1102707E7</v>
      </c>
      <c r="Q75" s="2" t="s">
        <v>544</v>
      </c>
      <c r="R75" s="6">
        <v>280.0</v>
      </c>
      <c r="S75" s="2" t="s">
        <v>36</v>
      </c>
      <c r="T75" s="7">
        <v>4015.0</v>
      </c>
      <c r="U75" s="5">
        <v>1124200.0</v>
      </c>
      <c r="V75" s="2" t="s">
        <v>646</v>
      </c>
      <c r="W75" s="2" t="s">
        <v>647</v>
      </c>
      <c r="X75" s="2">
        <v>5.1102707E7</v>
      </c>
      <c r="Y75" s="2" t="s">
        <v>542</v>
      </c>
      <c r="Z75" s="2" t="s">
        <v>648</v>
      </c>
    </row>
    <row r="76">
      <c r="A76" s="2" t="s">
        <v>649</v>
      </c>
      <c r="B76" s="3">
        <v>45859.0</v>
      </c>
      <c r="C76" s="2" t="s">
        <v>650</v>
      </c>
      <c r="D76" s="2" t="s">
        <v>651</v>
      </c>
      <c r="E76" s="4">
        <v>600000.0</v>
      </c>
      <c r="F76" s="5">
        <v>0.0</v>
      </c>
      <c r="G76" s="5">
        <v>0.0</v>
      </c>
      <c r="H76" s="5">
        <v>114000.0</v>
      </c>
      <c r="I76" s="5">
        <v>714000.0</v>
      </c>
      <c r="J76" s="2" t="s">
        <v>29</v>
      </c>
      <c r="K76" s="2" t="s">
        <v>652</v>
      </c>
      <c r="L76" s="2" t="s">
        <v>653</v>
      </c>
      <c r="M76" s="2" t="s">
        <v>654</v>
      </c>
      <c r="N76" s="2" t="s">
        <v>33</v>
      </c>
      <c r="O76" s="2" t="s">
        <v>34</v>
      </c>
      <c r="P76" s="2">
        <v>5.1131607E7</v>
      </c>
      <c r="Q76" s="2" t="s">
        <v>655</v>
      </c>
      <c r="R76" s="6">
        <v>150.0</v>
      </c>
      <c r="S76" s="2" t="s">
        <v>36</v>
      </c>
      <c r="T76" s="7">
        <v>4000.0</v>
      </c>
      <c r="U76" s="5">
        <v>600000.0</v>
      </c>
      <c r="V76" s="2" t="s">
        <v>656</v>
      </c>
      <c r="W76" s="2" t="s">
        <v>657</v>
      </c>
      <c r="X76" s="2">
        <v>5.1131607E7</v>
      </c>
      <c r="Y76" s="2" t="s">
        <v>653</v>
      </c>
      <c r="Z76" s="2" t="s">
        <v>658</v>
      </c>
    </row>
    <row r="77">
      <c r="A77" s="2" t="s">
        <v>659</v>
      </c>
      <c r="B77" s="3">
        <v>45867.0</v>
      </c>
      <c r="C77" s="2" t="s">
        <v>660</v>
      </c>
      <c r="D77" s="2" t="s">
        <v>661</v>
      </c>
      <c r="E77" s="4">
        <v>2399400.0</v>
      </c>
      <c r="F77" s="5">
        <v>0.0</v>
      </c>
      <c r="G77" s="5">
        <v>0.0</v>
      </c>
      <c r="H77" s="5">
        <v>455886.0</v>
      </c>
      <c r="I77" s="5">
        <v>2855286.0</v>
      </c>
      <c r="J77" s="2" t="s">
        <v>29</v>
      </c>
      <c r="K77" s="2" t="s">
        <v>652</v>
      </c>
      <c r="L77" s="2" t="s">
        <v>653</v>
      </c>
      <c r="M77" s="2" t="s">
        <v>654</v>
      </c>
      <c r="N77" s="2" t="s">
        <v>33</v>
      </c>
      <c r="O77" s="2" t="s">
        <v>34</v>
      </c>
      <c r="P77" s="2">
        <v>5.1131607E7</v>
      </c>
      <c r="Q77" s="2" t="s">
        <v>662</v>
      </c>
      <c r="R77" s="6">
        <v>600.0</v>
      </c>
      <c r="S77" s="2" t="s">
        <v>36</v>
      </c>
      <c r="T77" s="7">
        <v>3999.0</v>
      </c>
      <c r="U77" s="5">
        <v>2399400.0</v>
      </c>
      <c r="V77" s="2" t="s">
        <v>663</v>
      </c>
      <c r="W77" s="2" t="s">
        <v>664</v>
      </c>
      <c r="X77" s="2">
        <v>5.1131607E7</v>
      </c>
      <c r="Y77" s="2" t="s">
        <v>653</v>
      </c>
      <c r="Z77" s="2" t="s">
        <v>665</v>
      </c>
    </row>
    <row r="78">
      <c r="A78" s="2" t="s">
        <v>666</v>
      </c>
      <c r="B78" s="3">
        <v>45426.0</v>
      </c>
      <c r="C78" s="9" t="s">
        <v>667</v>
      </c>
      <c r="D78" s="2" t="s">
        <v>668</v>
      </c>
      <c r="E78" s="4">
        <v>1624140.0</v>
      </c>
      <c r="F78" s="5">
        <v>0.0</v>
      </c>
      <c r="G78" s="5">
        <v>0.0</v>
      </c>
      <c r="H78" s="5">
        <v>308586.6</v>
      </c>
      <c r="I78" s="5">
        <v>1932726.6</v>
      </c>
      <c r="J78" s="2" t="s">
        <v>29</v>
      </c>
      <c r="K78" s="2" t="s">
        <v>137</v>
      </c>
      <c r="L78" s="2" t="s">
        <v>138</v>
      </c>
      <c r="M78" s="2" t="s">
        <v>139</v>
      </c>
      <c r="N78" s="2" t="s">
        <v>33</v>
      </c>
      <c r="O78" s="2" t="s">
        <v>34</v>
      </c>
      <c r="P78" s="2">
        <v>8.5121902E7</v>
      </c>
      <c r="Q78" s="2" t="s">
        <v>669</v>
      </c>
      <c r="R78" s="6">
        <v>420.0</v>
      </c>
      <c r="S78" s="2" t="s">
        <v>141</v>
      </c>
      <c r="T78" s="7">
        <v>3867.0</v>
      </c>
      <c r="U78" s="5">
        <v>1624140.0</v>
      </c>
      <c r="V78" s="2" t="s">
        <v>670</v>
      </c>
      <c r="W78" s="2" t="s">
        <v>671</v>
      </c>
      <c r="X78" s="2">
        <v>8.5121902E7</v>
      </c>
      <c r="Y78" s="2" t="s">
        <v>138</v>
      </c>
      <c r="Z78" s="2" t="s">
        <v>672</v>
      </c>
    </row>
    <row r="79">
      <c r="A79" s="2" t="s">
        <v>673</v>
      </c>
      <c r="B79" s="3">
        <v>45763.0</v>
      </c>
      <c r="C79" s="2" t="s">
        <v>674</v>
      </c>
      <c r="D79" s="8" t="s">
        <v>675</v>
      </c>
      <c r="E79" s="4">
        <v>1110000.0</v>
      </c>
      <c r="F79" s="5">
        <v>0.0</v>
      </c>
      <c r="G79" s="5">
        <v>0.0</v>
      </c>
      <c r="H79" s="5">
        <v>210900.0</v>
      </c>
      <c r="I79" s="5">
        <v>1320900.0</v>
      </c>
      <c r="J79" s="2" t="s">
        <v>29</v>
      </c>
      <c r="K79" s="2" t="s">
        <v>127</v>
      </c>
      <c r="L79" s="2" t="s">
        <v>128</v>
      </c>
      <c r="M79" s="2" t="s">
        <v>129</v>
      </c>
      <c r="N79" s="2" t="s">
        <v>108</v>
      </c>
      <c r="O79" s="2" t="s">
        <v>34</v>
      </c>
      <c r="P79" s="2">
        <v>5.1191905E7</v>
      </c>
      <c r="Q79" s="2" t="s">
        <v>639</v>
      </c>
      <c r="R79" s="6">
        <v>300.0</v>
      </c>
      <c r="S79" s="2" t="s">
        <v>80</v>
      </c>
      <c r="T79" s="7">
        <v>3700.0</v>
      </c>
      <c r="U79" s="5">
        <v>1110000.0</v>
      </c>
      <c r="V79" s="2" t="s">
        <v>676</v>
      </c>
      <c r="W79" s="2" t="s">
        <v>615</v>
      </c>
      <c r="X79" s="2">
        <v>5.1191905E7</v>
      </c>
      <c r="Y79" s="2" t="s">
        <v>128</v>
      </c>
      <c r="Z79" s="2" t="s">
        <v>677</v>
      </c>
    </row>
    <row r="80">
      <c r="A80" s="2" t="s">
        <v>678</v>
      </c>
      <c r="B80" s="3">
        <v>45905.0</v>
      </c>
      <c r="C80" s="2" t="s">
        <v>679</v>
      </c>
      <c r="D80" s="8" t="s">
        <v>680</v>
      </c>
      <c r="E80" s="4">
        <v>72600.0</v>
      </c>
      <c r="F80" s="5">
        <v>0.0</v>
      </c>
      <c r="G80" s="5">
        <v>0.0</v>
      </c>
      <c r="H80" s="5">
        <v>13794.0</v>
      </c>
      <c r="I80" s="5">
        <v>86394.0</v>
      </c>
      <c r="J80" s="2" t="s">
        <v>29</v>
      </c>
      <c r="K80" s="2" t="s">
        <v>127</v>
      </c>
      <c r="L80" s="2" t="s">
        <v>128</v>
      </c>
      <c r="M80" s="2" t="s">
        <v>129</v>
      </c>
      <c r="N80" s="2" t="s">
        <v>108</v>
      </c>
      <c r="O80" s="2" t="s">
        <v>34</v>
      </c>
      <c r="P80" s="2">
        <v>5.1101597E7</v>
      </c>
      <c r="Q80" s="2" t="s">
        <v>681</v>
      </c>
      <c r="R80" s="6">
        <v>20.0</v>
      </c>
      <c r="S80" s="2" t="s">
        <v>36</v>
      </c>
      <c r="T80" s="7">
        <v>3630.0</v>
      </c>
      <c r="U80" s="5">
        <v>72600.0</v>
      </c>
      <c r="V80" s="2" t="s">
        <v>682</v>
      </c>
      <c r="W80" s="2" t="s">
        <v>683</v>
      </c>
      <c r="X80" s="2">
        <v>5.1101597E7</v>
      </c>
      <c r="Y80" s="2" t="s">
        <v>128</v>
      </c>
      <c r="Z80" s="2" t="s">
        <v>684</v>
      </c>
    </row>
    <row r="81">
      <c r="A81" s="2" t="s">
        <v>685</v>
      </c>
      <c r="B81" s="3">
        <v>45540.0</v>
      </c>
      <c r="C81" s="2" t="s">
        <v>686</v>
      </c>
      <c r="D81" s="2" t="s">
        <v>687</v>
      </c>
      <c r="E81" s="4">
        <v>589176.0</v>
      </c>
      <c r="F81" s="5">
        <v>0.0</v>
      </c>
      <c r="G81" s="5">
        <v>0.0</v>
      </c>
      <c r="H81" s="5">
        <v>111943.44</v>
      </c>
      <c r="I81" s="5">
        <v>701119.44</v>
      </c>
      <c r="J81" s="2" t="s">
        <v>29</v>
      </c>
      <c r="K81" s="2" t="s">
        <v>688</v>
      </c>
      <c r="L81" s="2" t="s">
        <v>689</v>
      </c>
      <c r="M81" s="2" t="s">
        <v>690</v>
      </c>
      <c r="N81" s="2" t="s">
        <v>33</v>
      </c>
      <c r="O81" s="2" t="s">
        <v>34</v>
      </c>
      <c r="P81" s="2">
        <v>8.5121902E7</v>
      </c>
      <c r="Q81" s="2" t="s">
        <v>691</v>
      </c>
      <c r="R81" s="6">
        <v>168.0</v>
      </c>
      <c r="S81" s="2" t="s">
        <v>141</v>
      </c>
      <c r="T81" s="7">
        <v>3507.0</v>
      </c>
      <c r="U81" s="5">
        <v>589176.0</v>
      </c>
      <c r="V81" s="2" t="s">
        <v>692</v>
      </c>
      <c r="W81" s="2" t="s">
        <v>693</v>
      </c>
      <c r="X81" s="2">
        <v>8.5121902E7</v>
      </c>
      <c r="Y81" s="2" t="s">
        <v>689</v>
      </c>
      <c r="Z81" s="2" t="s">
        <v>694</v>
      </c>
    </row>
    <row r="82">
      <c r="A82" s="2" t="s">
        <v>695</v>
      </c>
      <c r="B82" s="3">
        <v>45762.0</v>
      </c>
      <c r="C82" s="2" t="s">
        <v>696</v>
      </c>
      <c r="D82" s="2" t="s">
        <v>697</v>
      </c>
      <c r="E82" s="4">
        <v>350400.0</v>
      </c>
      <c r="F82" s="5">
        <v>0.0</v>
      </c>
      <c r="G82" s="5">
        <v>0.0</v>
      </c>
      <c r="H82" s="5">
        <v>66576.0</v>
      </c>
      <c r="I82" s="5">
        <v>416976.0</v>
      </c>
      <c r="J82" s="2" t="s">
        <v>29</v>
      </c>
      <c r="K82" s="2" t="s">
        <v>60</v>
      </c>
      <c r="L82" s="2" t="s">
        <v>61</v>
      </c>
      <c r="M82" s="2" t="s">
        <v>62</v>
      </c>
      <c r="N82" s="2" t="s">
        <v>63</v>
      </c>
      <c r="O82" s="2" t="s">
        <v>34</v>
      </c>
      <c r="P82" s="2">
        <v>5.1161615E7</v>
      </c>
      <c r="Q82" s="2" t="s">
        <v>698</v>
      </c>
      <c r="R82" s="6">
        <v>100.0</v>
      </c>
      <c r="S82" s="2" t="s">
        <v>120</v>
      </c>
      <c r="T82" s="7">
        <v>3504.0</v>
      </c>
      <c r="U82" s="5">
        <v>350400.0</v>
      </c>
      <c r="V82" s="2" t="s">
        <v>699</v>
      </c>
      <c r="W82" s="2" t="s">
        <v>700</v>
      </c>
      <c r="X82" s="2">
        <v>5.1161615E7</v>
      </c>
      <c r="Y82" s="2" t="s">
        <v>61</v>
      </c>
      <c r="Z82" s="2" t="s">
        <v>67</v>
      </c>
    </row>
    <row r="83">
      <c r="A83" s="2" t="s">
        <v>701</v>
      </c>
      <c r="B83" s="3">
        <v>45906.0</v>
      </c>
      <c r="C83" s="2" t="s">
        <v>702</v>
      </c>
      <c r="D83" s="2" t="s">
        <v>703</v>
      </c>
      <c r="E83" s="4">
        <v>161100.0</v>
      </c>
      <c r="F83" s="5">
        <v>0.0</v>
      </c>
      <c r="G83" s="5">
        <v>0.0</v>
      </c>
      <c r="H83" s="5">
        <v>30609.0</v>
      </c>
      <c r="I83" s="5">
        <v>191709.0</v>
      </c>
      <c r="J83" s="2" t="s">
        <v>29</v>
      </c>
      <c r="K83" s="2" t="s">
        <v>127</v>
      </c>
      <c r="L83" s="2" t="s">
        <v>128</v>
      </c>
      <c r="M83" s="2" t="s">
        <v>129</v>
      </c>
      <c r="N83" s="2" t="s">
        <v>108</v>
      </c>
      <c r="O83" s="2" t="s">
        <v>34</v>
      </c>
      <c r="P83" s="2">
        <v>5.1121603E7</v>
      </c>
      <c r="Q83" s="2" t="s">
        <v>704</v>
      </c>
      <c r="R83" s="6">
        <v>50.0</v>
      </c>
      <c r="S83" s="2" t="s">
        <v>47</v>
      </c>
      <c r="T83" s="7">
        <v>3222.0</v>
      </c>
      <c r="U83" s="5">
        <v>161100.0</v>
      </c>
      <c r="V83" s="2" t="s">
        <v>705</v>
      </c>
      <c r="W83" s="2" t="s">
        <v>706</v>
      </c>
      <c r="X83" s="2">
        <v>5.1121603E7</v>
      </c>
      <c r="Y83" s="2" t="s">
        <v>128</v>
      </c>
      <c r="Z83" s="2" t="s">
        <v>133</v>
      </c>
    </row>
    <row r="84">
      <c r="A84" s="2" t="s">
        <v>707</v>
      </c>
      <c r="B84" s="3">
        <v>45649.0</v>
      </c>
      <c r="C84" s="2" t="s">
        <v>708</v>
      </c>
      <c r="D84" s="2" t="s">
        <v>709</v>
      </c>
      <c r="E84" s="4">
        <v>1570500.0</v>
      </c>
      <c r="F84" s="5">
        <v>0.0</v>
      </c>
      <c r="G84" s="5">
        <v>0.0</v>
      </c>
      <c r="H84" s="5">
        <v>298395.0</v>
      </c>
      <c r="I84" s="5">
        <v>1868895.0</v>
      </c>
      <c r="J84" s="2" t="s">
        <v>29</v>
      </c>
      <c r="K84" s="2" t="s">
        <v>190</v>
      </c>
      <c r="L84" s="2" t="s">
        <v>191</v>
      </c>
      <c r="M84" s="2" t="s">
        <v>192</v>
      </c>
      <c r="N84" s="8" t="s">
        <v>182</v>
      </c>
      <c r="O84" s="2" t="s">
        <v>34</v>
      </c>
      <c r="P84" s="2">
        <v>5.1141703E7</v>
      </c>
      <c r="Q84" s="2" t="s">
        <v>710</v>
      </c>
      <c r="R84" s="6">
        <v>500.0</v>
      </c>
      <c r="S84" s="2" t="s">
        <v>141</v>
      </c>
      <c r="T84" s="7">
        <v>3141.0</v>
      </c>
      <c r="U84" s="5">
        <v>1570500.0</v>
      </c>
      <c r="V84" s="2" t="s">
        <v>711</v>
      </c>
      <c r="W84" s="2" t="s">
        <v>712</v>
      </c>
      <c r="X84" s="2">
        <v>5.1141703E7</v>
      </c>
      <c r="Y84" s="2" t="s">
        <v>191</v>
      </c>
      <c r="Z84" s="2" t="s">
        <v>713</v>
      </c>
    </row>
    <row r="85">
      <c r="A85" s="2" t="s">
        <v>714</v>
      </c>
      <c r="B85" s="3">
        <v>45495.0</v>
      </c>
      <c r="C85" s="8" t="s">
        <v>715</v>
      </c>
      <c r="D85" s="8" t="s">
        <v>716</v>
      </c>
      <c r="E85" s="4">
        <v>455700.0</v>
      </c>
      <c r="F85" s="5">
        <v>0.0</v>
      </c>
      <c r="G85" s="5">
        <v>0.0</v>
      </c>
      <c r="H85" s="5">
        <v>86583.0</v>
      </c>
      <c r="I85" s="5">
        <v>542283.0</v>
      </c>
      <c r="J85" s="2" t="s">
        <v>29</v>
      </c>
      <c r="K85" s="2" t="s">
        <v>717</v>
      </c>
      <c r="L85" s="2" t="s">
        <v>718</v>
      </c>
      <c r="M85" s="2" t="s">
        <v>45</v>
      </c>
      <c r="N85" s="8" t="s">
        <v>33</v>
      </c>
      <c r="O85" s="2" t="s">
        <v>34</v>
      </c>
      <c r="P85" s="2">
        <v>5.1142934E7</v>
      </c>
      <c r="Q85" s="2" t="s">
        <v>719</v>
      </c>
      <c r="R85" s="6">
        <v>150.0</v>
      </c>
      <c r="S85" s="2" t="s">
        <v>47</v>
      </c>
      <c r="T85" s="7">
        <v>3038.0</v>
      </c>
      <c r="U85" s="5">
        <v>455700.0</v>
      </c>
      <c r="V85" s="2" t="s">
        <v>720</v>
      </c>
      <c r="W85" s="2" t="s">
        <v>721</v>
      </c>
      <c r="X85" s="2">
        <v>5.1142934E7</v>
      </c>
      <c r="Y85" s="2" t="s">
        <v>718</v>
      </c>
      <c r="Z85" s="2" t="s">
        <v>722</v>
      </c>
    </row>
    <row r="86">
      <c r="A86" s="2" t="s">
        <v>723</v>
      </c>
      <c r="B86" s="3">
        <v>45859.0</v>
      </c>
      <c r="C86" s="2" t="s">
        <v>724</v>
      </c>
      <c r="D86" s="2" t="s">
        <v>725</v>
      </c>
      <c r="E86" s="4">
        <v>2654100.0</v>
      </c>
      <c r="F86" s="5">
        <v>0.0</v>
      </c>
      <c r="G86" s="5">
        <v>0.0</v>
      </c>
      <c r="H86" s="5">
        <v>504279.0</v>
      </c>
      <c r="I86" s="5">
        <v>3158379.0</v>
      </c>
      <c r="J86" s="2" t="s">
        <v>29</v>
      </c>
      <c r="K86" s="2" t="s">
        <v>726</v>
      </c>
      <c r="L86" s="2" t="s">
        <v>727</v>
      </c>
      <c r="M86" s="2" t="s">
        <v>728</v>
      </c>
      <c r="N86" s="2" t="s">
        <v>108</v>
      </c>
      <c r="O86" s="2" t="s">
        <v>623</v>
      </c>
      <c r="P86" s="2">
        <v>5.1171631E7</v>
      </c>
      <c r="Q86" s="2" t="s">
        <v>729</v>
      </c>
      <c r="R86" s="6">
        <v>900.0</v>
      </c>
      <c r="S86" s="2" t="s">
        <v>730</v>
      </c>
      <c r="T86" s="7">
        <v>2949.0</v>
      </c>
      <c r="U86" s="5">
        <v>2654100.0</v>
      </c>
      <c r="V86" s="2" t="s">
        <v>731</v>
      </c>
      <c r="W86" s="2" t="s">
        <v>732</v>
      </c>
      <c r="X86" s="2">
        <v>5.1171631E7</v>
      </c>
      <c r="Y86" s="2" t="s">
        <v>727</v>
      </c>
      <c r="Z86" s="2" t="s">
        <v>733</v>
      </c>
    </row>
    <row r="87">
      <c r="A87" s="2" t="s">
        <v>734</v>
      </c>
      <c r="B87" s="3">
        <v>45321.0</v>
      </c>
      <c r="C87" s="2" t="s">
        <v>735</v>
      </c>
      <c r="D87" s="2" t="s">
        <v>736</v>
      </c>
      <c r="E87" s="4">
        <v>1290760.0</v>
      </c>
      <c r="F87" s="5">
        <v>0.0</v>
      </c>
      <c r="G87" s="5">
        <v>0.0</v>
      </c>
      <c r="H87" s="5">
        <v>245244.4</v>
      </c>
      <c r="I87" s="5">
        <v>1536004.4</v>
      </c>
      <c r="J87" s="2" t="s">
        <v>368</v>
      </c>
      <c r="K87" s="2" t="s">
        <v>541</v>
      </c>
      <c r="L87" s="2" t="s">
        <v>542</v>
      </c>
      <c r="M87" s="2" t="s">
        <v>543</v>
      </c>
      <c r="N87" s="2" t="s">
        <v>33</v>
      </c>
      <c r="O87" s="2" t="s">
        <v>34</v>
      </c>
      <c r="P87" s="2">
        <v>5.3131608E7</v>
      </c>
      <c r="Q87" s="2" t="s">
        <v>737</v>
      </c>
      <c r="R87" s="6">
        <v>460.0</v>
      </c>
      <c r="S87" s="2" t="s">
        <v>36</v>
      </c>
      <c r="T87" s="7">
        <v>2806.0</v>
      </c>
      <c r="U87" s="5">
        <v>1290760.0</v>
      </c>
      <c r="V87" s="2" t="s">
        <v>738</v>
      </c>
      <c r="W87" s="2" t="s">
        <v>739</v>
      </c>
      <c r="X87" s="2">
        <v>5.3131608E7</v>
      </c>
      <c r="Y87" s="2" t="s">
        <v>542</v>
      </c>
      <c r="Z87" s="2" t="s">
        <v>740</v>
      </c>
    </row>
    <row r="88">
      <c r="A88" s="2" t="s">
        <v>741</v>
      </c>
      <c r="B88" s="3">
        <v>45834.0</v>
      </c>
      <c r="C88" s="2" t="s">
        <v>742</v>
      </c>
      <c r="D88" s="2" t="s">
        <v>743</v>
      </c>
      <c r="E88" s="4">
        <v>2338200.0</v>
      </c>
      <c r="F88" s="5">
        <v>0.0</v>
      </c>
      <c r="G88" s="5">
        <v>0.0</v>
      </c>
      <c r="H88" s="5">
        <v>444258.0</v>
      </c>
      <c r="I88" s="5">
        <v>2782458.0</v>
      </c>
      <c r="J88" s="2" t="s">
        <v>29</v>
      </c>
      <c r="K88" s="2" t="s">
        <v>153</v>
      </c>
      <c r="L88" s="2" t="s">
        <v>154</v>
      </c>
      <c r="M88" s="2" t="s">
        <v>155</v>
      </c>
      <c r="N88" s="2" t="s">
        <v>33</v>
      </c>
      <c r="O88" s="2" t="s">
        <v>34</v>
      </c>
      <c r="P88" s="2">
        <v>5.1101567E7</v>
      </c>
      <c r="Q88" s="2" t="s">
        <v>744</v>
      </c>
      <c r="R88" s="6">
        <v>900.0</v>
      </c>
      <c r="S88" s="2" t="s">
        <v>47</v>
      </c>
      <c r="T88" s="7">
        <v>2598.0</v>
      </c>
      <c r="U88" s="5">
        <v>2338200.0</v>
      </c>
      <c r="V88" s="2" t="s">
        <v>745</v>
      </c>
      <c r="W88" s="2" t="s">
        <v>746</v>
      </c>
      <c r="X88" s="2">
        <v>5.1101567E7</v>
      </c>
      <c r="Y88" s="2" t="s">
        <v>154</v>
      </c>
      <c r="Z88" s="2" t="s">
        <v>747</v>
      </c>
    </row>
    <row r="89">
      <c r="A89" s="2" t="s">
        <v>748</v>
      </c>
      <c r="B89" s="3">
        <v>45446.0</v>
      </c>
      <c r="C89" s="2" t="s">
        <v>749</v>
      </c>
      <c r="D89" s="8" t="s">
        <v>750</v>
      </c>
      <c r="E89" s="4">
        <v>414000.0</v>
      </c>
      <c r="F89" s="5">
        <v>0.0</v>
      </c>
      <c r="G89" s="5">
        <v>0.0</v>
      </c>
      <c r="H89" s="5">
        <v>78660.0</v>
      </c>
      <c r="I89" s="5">
        <v>492660.0</v>
      </c>
      <c r="J89" s="2" t="s">
        <v>29</v>
      </c>
      <c r="K89" s="2" t="s">
        <v>751</v>
      </c>
      <c r="L89" s="2" t="s">
        <v>752</v>
      </c>
      <c r="M89" s="2" t="s">
        <v>753</v>
      </c>
      <c r="N89" s="2" t="s">
        <v>33</v>
      </c>
      <c r="O89" s="2" t="s">
        <v>34</v>
      </c>
      <c r="P89" s="2">
        <v>5.1102332E7</v>
      </c>
      <c r="Q89" s="2" t="s">
        <v>754</v>
      </c>
      <c r="R89" s="6">
        <v>180.0</v>
      </c>
      <c r="S89" s="2" t="s">
        <v>141</v>
      </c>
      <c r="T89" s="7">
        <v>2300.0</v>
      </c>
      <c r="U89" s="5">
        <v>414000.0</v>
      </c>
      <c r="V89" s="2" t="s">
        <v>755</v>
      </c>
      <c r="W89" s="2" t="s">
        <v>756</v>
      </c>
      <c r="X89" s="2">
        <v>5.1102332E7</v>
      </c>
      <c r="Y89" s="2" t="s">
        <v>752</v>
      </c>
      <c r="Z89" s="2" t="s">
        <v>757</v>
      </c>
    </row>
    <row r="90">
      <c r="A90" s="2" t="s">
        <v>758</v>
      </c>
      <c r="B90" s="3">
        <v>45749.0</v>
      </c>
      <c r="C90" s="2" t="s">
        <v>759</v>
      </c>
      <c r="D90" s="2" t="s">
        <v>760</v>
      </c>
      <c r="E90" s="4">
        <v>67890.0</v>
      </c>
      <c r="F90" s="5">
        <v>0.0</v>
      </c>
      <c r="G90" s="5">
        <v>0.0</v>
      </c>
      <c r="H90" s="5">
        <v>12899.1</v>
      </c>
      <c r="I90" s="5">
        <v>80789.1</v>
      </c>
      <c r="J90" s="2" t="s">
        <v>29</v>
      </c>
      <c r="K90" s="2" t="s">
        <v>190</v>
      </c>
      <c r="L90" s="2" t="s">
        <v>191</v>
      </c>
      <c r="M90" s="2" t="s">
        <v>192</v>
      </c>
      <c r="N90" s="2" t="s">
        <v>63</v>
      </c>
      <c r="O90" s="2" t="s">
        <v>34</v>
      </c>
      <c r="P90" s="2">
        <v>5.1142904E7</v>
      </c>
      <c r="Q90" s="2" t="s">
        <v>761</v>
      </c>
      <c r="R90" s="6">
        <v>30.0</v>
      </c>
      <c r="S90" s="2" t="s">
        <v>36</v>
      </c>
      <c r="T90" s="7">
        <v>2263.0</v>
      </c>
      <c r="U90" s="5">
        <v>67890.0</v>
      </c>
      <c r="V90" s="2" t="s">
        <v>762</v>
      </c>
      <c r="W90" s="2" t="s">
        <v>763</v>
      </c>
      <c r="X90" s="2">
        <v>5.1142904E7</v>
      </c>
      <c r="Y90" s="2" t="s">
        <v>191</v>
      </c>
      <c r="Z90" s="2" t="s">
        <v>764</v>
      </c>
    </row>
    <row r="91">
      <c r="A91" s="2" t="s">
        <v>765</v>
      </c>
      <c r="B91" s="3">
        <v>45825.0</v>
      </c>
      <c r="C91" s="2" t="s">
        <v>766</v>
      </c>
      <c r="D91" s="2" t="s">
        <v>767</v>
      </c>
      <c r="E91" s="4">
        <v>1095000.0</v>
      </c>
      <c r="F91" s="5">
        <v>0.0</v>
      </c>
      <c r="G91" s="5">
        <v>0.0</v>
      </c>
      <c r="H91" s="5">
        <v>208050.0</v>
      </c>
      <c r="I91" s="5">
        <v>1303050.0</v>
      </c>
      <c r="J91" s="2" t="s">
        <v>29</v>
      </c>
      <c r="K91" s="2" t="s">
        <v>768</v>
      </c>
      <c r="L91" s="2" t="s">
        <v>769</v>
      </c>
      <c r="M91" s="2" t="s">
        <v>770</v>
      </c>
      <c r="N91" s="2" t="s">
        <v>182</v>
      </c>
      <c r="O91" s="2" t="s">
        <v>771</v>
      </c>
      <c r="P91" s="2">
        <v>5.1151703E7</v>
      </c>
      <c r="Q91" s="2" t="s">
        <v>772</v>
      </c>
      <c r="R91" s="6">
        <v>500.0</v>
      </c>
      <c r="S91" s="2" t="s">
        <v>80</v>
      </c>
      <c r="T91" s="7">
        <v>2190.0</v>
      </c>
      <c r="U91" s="5">
        <v>1095000.0</v>
      </c>
      <c r="V91" s="2" t="s">
        <v>773</v>
      </c>
      <c r="W91" s="2" t="s">
        <v>774</v>
      </c>
      <c r="X91" s="2">
        <v>5.1151703E7</v>
      </c>
      <c r="Y91" s="2" t="s">
        <v>769</v>
      </c>
      <c r="Z91" s="2" t="s">
        <v>775</v>
      </c>
    </row>
    <row r="92">
      <c r="A92" s="2" t="s">
        <v>776</v>
      </c>
      <c r="B92" s="3">
        <v>45440.0</v>
      </c>
      <c r="C92" s="2" t="s">
        <v>777</v>
      </c>
      <c r="D92" s="2" t="s">
        <v>778</v>
      </c>
      <c r="E92" s="4">
        <v>611520.0</v>
      </c>
      <c r="F92" s="5">
        <v>0.0</v>
      </c>
      <c r="G92" s="5">
        <v>0.0</v>
      </c>
      <c r="H92" s="5">
        <v>116188.8</v>
      </c>
      <c r="I92" s="5">
        <v>727708.8</v>
      </c>
      <c r="J92" s="2" t="s">
        <v>29</v>
      </c>
      <c r="K92" s="2" t="s">
        <v>779</v>
      </c>
      <c r="L92" s="2" t="s">
        <v>780</v>
      </c>
      <c r="M92" s="2" t="s">
        <v>45</v>
      </c>
      <c r="N92" s="2" t="s">
        <v>33</v>
      </c>
      <c r="O92" s="2" t="s">
        <v>34</v>
      </c>
      <c r="P92" s="2">
        <v>5.1141703E7</v>
      </c>
      <c r="Q92" s="2" t="s">
        <v>781</v>
      </c>
      <c r="R92" s="6">
        <v>280.0</v>
      </c>
      <c r="S92" s="2" t="s">
        <v>141</v>
      </c>
      <c r="T92" s="7">
        <v>2184.0</v>
      </c>
      <c r="U92" s="5">
        <v>611520.0</v>
      </c>
      <c r="V92" s="2" t="s">
        <v>782</v>
      </c>
      <c r="W92" s="2" t="s">
        <v>783</v>
      </c>
      <c r="X92" s="2">
        <v>5.1141703E7</v>
      </c>
      <c r="Y92" s="2" t="s">
        <v>780</v>
      </c>
      <c r="Z92" s="2" t="s">
        <v>784</v>
      </c>
    </row>
    <row r="93">
      <c r="A93" s="2" t="s">
        <v>785</v>
      </c>
      <c r="B93" s="3">
        <v>45461.0</v>
      </c>
      <c r="C93" s="2" t="s">
        <v>786</v>
      </c>
      <c r="D93" s="2" t="s">
        <v>787</v>
      </c>
      <c r="E93" s="4">
        <v>30506.0</v>
      </c>
      <c r="F93" s="5">
        <v>0.0</v>
      </c>
      <c r="G93" s="5">
        <v>0.0</v>
      </c>
      <c r="H93" s="5">
        <v>5796.14</v>
      </c>
      <c r="I93" s="5">
        <v>36302.14</v>
      </c>
      <c r="J93" s="2" t="s">
        <v>29</v>
      </c>
      <c r="K93" s="2" t="s">
        <v>620</v>
      </c>
      <c r="L93" s="2" t="s">
        <v>621</v>
      </c>
      <c r="M93" s="2" t="s">
        <v>622</v>
      </c>
      <c r="N93" s="2" t="s">
        <v>33</v>
      </c>
      <c r="O93" s="2" t="s">
        <v>623</v>
      </c>
      <c r="P93" s="2">
        <v>5.1181805E7</v>
      </c>
      <c r="Q93" s="2" t="s">
        <v>788</v>
      </c>
      <c r="R93" s="6">
        <v>14.0</v>
      </c>
      <c r="S93" s="2" t="s">
        <v>141</v>
      </c>
      <c r="T93" s="7">
        <v>2179.0</v>
      </c>
      <c r="U93" s="5">
        <v>30506.0</v>
      </c>
      <c r="V93" s="2" t="s">
        <v>789</v>
      </c>
      <c r="W93" s="2" t="s">
        <v>790</v>
      </c>
      <c r="X93" s="2">
        <v>5.1181805E7</v>
      </c>
      <c r="Y93" s="2" t="s">
        <v>621</v>
      </c>
      <c r="Z93" s="2" t="s">
        <v>791</v>
      </c>
    </row>
    <row r="94">
      <c r="A94" s="2" t="s">
        <v>792</v>
      </c>
      <c r="B94" s="3">
        <v>45348.0</v>
      </c>
      <c r="C94" s="2" t="s">
        <v>793</v>
      </c>
      <c r="D94" s="2" t="s">
        <v>794</v>
      </c>
      <c r="E94" s="4">
        <v>1591000.0</v>
      </c>
      <c r="F94" s="5">
        <v>0.0</v>
      </c>
      <c r="G94" s="5">
        <v>0.0</v>
      </c>
      <c r="H94" s="5">
        <v>302290.0</v>
      </c>
      <c r="I94" s="5">
        <v>1893290.0</v>
      </c>
      <c r="J94" s="2" t="s">
        <v>368</v>
      </c>
      <c r="K94" s="2" t="s">
        <v>475</v>
      </c>
      <c r="L94" s="2" t="s">
        <v>476</v>
      </c>
      <c r="M94" s="2" t="s">
        <v>477</v>
      </c>
      <c r="N94" s="2" t="s">
        <v>108</v>
      </c>
      <c r="O94" s="2" t="s">
        <v>34</v>
      </c>
      <c r="P94" s="2">
        <v>5.110271E7</v>
      </c>
      <c r="Q94" s="2" t="s">
        <v>795</v>
      </c>
      <c r="R94" s="6">
        <v>740.0</v>
      </c>
      <c r="S94" s="2" t="s">
        <v>332</v>
      </c>
      <c r="T94" s="7">
        <v>2150.0</v>
      </c>
      <c r="U94" s="5">
        <v>1591000.0</v>
      </c>
      <c r="V94" s="2" t="s">
        <v>796</v>
      </c>
      <c r="W94" s="2" t="s">
        <v>797</v>
      </c>
      <c r="X94" s="2">
        <v>5.110271E7</v>
      </c>
      <c r="Y94" s="2" t="s">
        <v>476</v>
      </c>
      <c r="Z94" s="2" t="s">
        <v>798</v>
      </c>
    </row>
    <row r="95">
      <c r="A95" s="2" t="s">
        <v>799</v>
      </c>
      <c r="B95" s="3">
        <v>45479.0</v>
      </c>
      <c r="C95" s="2" t="s">
        <v>800</v>
      </c>
      <c r="D95" s="2" t="s">
        <v>801</v>
      </c>
      <c r="E95" s="4">
        <v>234000.0</v>
      </c>
      <c r="F95" s="5">
        <v>0.0</v>
      </c>
      <c r="G95" s="5">
        <v>0.0</v>
      </c>
      <c r="H95" s="5">
        <v>44460.0</v>
      </c>
      <c r="I95" s="5">
        <v>278460.0</v>
      </c>
      <c r="J95" s="2" t="s">
        <v>368</v>
      </c>
      <c r="K95" s="2" t="s">
        <v>802</v>
      </c>
      <c r="L95" s="2" t="s">
        <v>803</v>
      </c>
      <c r="M95" s="2" t="s">
        <v>804</v>
      </c>
      <c r="N95" s="2" t="s">
        <v>63</v>
      </c>
      <c r="O95" s="2" t="s">
        <v>407</v>
      </c>
      <c r="P95" s="2">
        <v>4.2294705E7</v>
      </c>
      <c r="Q95" s="2" t="s">
        <v>805</v>
      </c>
      <c r="R95" s="6">
        <v>120.0</v>
      </c>
      <c r="S95" s="2" t="s">
        <v>806</v>
      </c>
      <c r="T95" s="7">
        <v>1950.0</v>
      </c>
      <c r="U95" s="5">
        <v>234000.0</v>
      </c>
      <c r="V95" s="2" t="s">
        <v>807</v>
      </c>
      <c r="W95" s="2" t="s">
        <v>808</v>
      </c>
      <c r="X95" s="2">
        <v>4.2294705E7</v>
      </c>
      <c r="Y95" s="2" t="s">
        <v>803</v>
      </c>
      <c r="Z95" s="2" t="s">
        <v>809</v>
      </c>
    </row>
    <row r="96">
      <c r="A96" s="2" t="s">
        <v>810</v>
      </c>
      <c r="B96" s="3">
        <v>45602.0</v>
      </c>
      <c r="C96" s="2" t="s">
        <v>811</v>
      </c>
      <c r="D96" s="2" t="s">
        <v>812</v>
      </c>
      <c r="E96" s="4">
        <v>195000.0</v>
      </c>
      <c r="F96" s="5">
        <v>0.0</v>
      </c>
      <c r="G96" s="5">
        <v>0.0</v>
      </c>
      <c r="H96" s="5">
        <v>37050.0</v>
      </c>
      <c r="I96" s="5">
        <v>232050.0</v>
      </c>
      <c r="J96" s="2" t="s">
        <v>29</v>
      </c>
      <c r="K96" s="2" t="s">
        <v>813</v>
      </c>
      <c r="L96" s="2" t="s">
        <v>814</v>
      </c>
      <c r="M96" s="2" t="s">
        <v>622</v>
      </c>
      <c r="N96" s="2" t="s">
        <v>33</v>
      </c>
      <c r="O96" s="2" t="s">
        <v>34</v>
      </c>
      <c r="P96" s="2">
        <v>8.5121902E7</v>
      </c>
      <c r="Q96" s="2" t="s">
        <v>815</v>
      </c>
      <c r="R96" s="6">
        <v>100.0</v>
      </c>
      <c r="S96" s="2" t="s">
        <v>120</v>
      </c>
      <c r="T96" s="7">
        <v>1950.0</v>
      </c>
      <c r="U96" s="5">
        <v>195000.0</v>
      </c>
      <c r="V96" s="2" t="s">
        <v>816</v>
      </c>
      <c r="W96" s="2" t="s">
        <v>817</v>
      </c>
      <c r="X96" s="2">
        <v>8.5121902E7</v>
      </c>
      <c r="Y96" s="2" t="s">
        <v>814</v>
      </c>
      <c r="Z96" s="2" t="s">
        <v>818</v>
      </c>
    </row>
    <row r="97">
      <c r="A97" s="2" t="s">
        <v>819</v>
      </c>
      <c r="B97" s="3">
        <v>45777.0</v>
      </c>
      <c r="C97" s="2" t="s">
        <v>820</v>
      </c>
      <c r="D97" s="2" t="s">
        <v>821</v>
      </c>
      <c r="E97" s="4">
        <v>543900.0</v>
      </c>
      <c r="F97" s="5">
        <v>0.0</v>
      </c>
      <c r="G97" s="5">
        <v>0.0</v>
      </c>
      <c r="H97" s="5">
        <v>103341.0</v>
      </c>
      <c r="I97" s="5">
        <v>647241.0</v>
      </c>
      <c r="J97" s="2" t="s">
        <v>29</v>
      </c>
      <c r="K97" s="2" t="s">
        <v>822</v>
      </c>
      <c r="L97" s="2" t="s">
        <v>823</v>
      </c>
      <c r="M97" s="2" t="s">
        <v>824</v>
      </c>
      <c r="N97" s="2" t="s">
        <v>108</v>
      </c>
      <c r="O97" s="2" t="s">
        <v>34</v>
      </c>
      <c r="P97" s="2">
        <v>5.1191905E7</v>
      </c>
      <c r="Q97" s="2" t="s">
        <v>825</v>
      </c>
      <c r="R97" s="6">
        <v>300.0</v>
      </c>
      <c r="S97" s="2" t="s">
        <v>141</v>
      </c>
      <c r="T97" s="7">
        <v>1813.0</v>
      </c>
      <c r="U97" s="5">
        <v>543900.0</v>
      </c>
      <c r="V97" s="2" t="s">
        <v>826</v>
      </c>
      <c r="W97" s="2" t="s">
        <v>827</v>
      </c>
      <c r="X97" s="2">
        <v>5.1191905E7</v>
      </c>
      <c r="Y97" s="2" t="s">
        <v>823</v>
      </c>
      <c r="Z97" s="2" t="s">
        <v>828</v>
      </c>
    </row>
    <row r="98">
      <c r="A98" s="2" t="s">
        <v>829</v>
      </c>
      <c r="B98" s="3">
        <v>45425.0</v>
      </c>
      <c r="C98" s="2" t="s">
        <v>830</v>
      </c>
      <c r="D98" s="2" t="s">
        <v>831</v>
      </c>
      <c r="E98" s="4">
        <v>175900.0</v>
      </c>
      <c r="F98" s="5">
        <v>0.0</v>
      </c>
      <c r="G98" s="5">
        <v>0.0</v>
      </c>
      <c r="H98" s="5">
        <v>33421.0</v>
      </c>
      <c r="I98" s="5">
        <v>209321.0</v>
      </c>
      <c r="J98" s="2" t="s">
        <v>29</v>
      </c>
      <c r="K98" s="2" t="s">
        <v>310</v>
      </c>
      <c r="L98" s="2" t="s">
        <v>311</v>
      </c>
      <c r="M98" s="2" t="s">
        <v>312</v>
      </c>
      <c r="N98" s="2" t="s">
        <v>33</v>
      </c>
      <c r="O98" s="2" t="s">
        <v>34</v>
      </c>
      <c r="P98" s="2">
        <v>5.1121707E7</v>
      </c>
      <c r="Q98" s="2" t="s">
        <v>832</v>
      </c>
      <c r="R98" s="6">
        <v>100.0</v>
      </c>
      <c r="S98" s="2" t="s">
        <v>80</v>
      </c>
      <c r="T98" s="7">
        <v>1759.0</v>
      </c>
      <c r="U98" s="5">
        <v>175900.0</v>
      </c>
      <c r="V98" s="2" t="s">
        <v>833</v>
      </c>
      <c r="W98" s="2" t="s">
        <v>834</v>
      </c>
      <c r="X98" s="2">
        <v>5.1121707E7</v>
      </c>
      <c r="Y98" s="2" t="s">
        <v>311</v>
      </c>
      <c r="Z98" s="2" t="s">
        <v>835</v>
      </c>
    </row>
    <row r="99">
      <c r="A99" s="2" t="s">
        <v>836</v>
      </c>
      <c r="B99" s="3">
        <v>45507.0</v>
      </c>
      <c r="C99" s="2" t="s">
        <v>837</v>
      </c>
      <c r="D99" s="2" t="s">
        <v>838</v>
      </c>
      <c r="E99" s="4">
        <v>153450.0</v>
      </c>
      <c r="F99" s="5">
        <v>0.0</v>
      </c>
      <c r="G99" s="5">
        <v>0.0</v>
      </c>
      <c r="H99" s="5">
        <v>29155.5</v>
      </c>
      <c r="I99" s="5">
        <v>182605.5</v>
      </c>
      <c r="J99" s="2" t="s">
        <v>29</v>
      </c>
      <c r="K99" s="2" t="s">
        <v>465</v>
      </c>
      <c r="L99" s="2" t="s">
        <v>466</v>
      </c>
      <c r="M99" s="2" t="s">
        <v>467</v>
      </c>
      <c r="N99" s="2" t="s">
        <v>33</v>
      </c>
      <c r="O99" s="2" t="s">
        <v>34</v>
      </c>
      <c r="P99" s="2">
        <v>5.1171806E7</v>
      </c>
      <c r="Q99" s="2" t="s">
        <v>839</v>
      </c>
      <c r="R99" s="6">
        <v>90.0</v>
      </c>
      <c r="S99" s="2" t="s">
        <v>120</v>
      </c>
      <c r="T99" s="7">
        <v>1705.0</v>
      </c>
      <c r="U99" s="5">
        <v>153450.0</v>
      </c>
      <c r="V99" s="2" t="s">
        <v>840</v>
      </c>
      <c r="W99" s="2" t="s">
        <v>841</v>
      </c>
      <c r="X99" s="2">
        <v>5.1171806E7</v>
      </c>
      <c r="Y99" s="2" t="s">
        <v>466</v>
      </c>
      <c r="Z99" s="2" t="s">
        <v>842</v>
      </c>
    </row>
    <row r="100">
      <c r="A100" s="2" t="s">
        <v>843</v>
      </c>
      <c r="B100" s="3">
        <v>45763.0</v>
      </c>
      <c r="C100" s="2" t="s">
        <v>844</v>
      </c>
      <c r="D100" s="2" t="s">
        <v>845</v>
      </c>
      <c r="E100" s="4">
        <v>1600320.0</v>
      </c>
      <c r="F100" s="5">
        <v>0.0</v>
      </c>
      <c r="G100" s="5">
        <v>0.0</v>
      </c>
      <c r="H100" s="5">
        <v>304060.8</v>
      </c>
      <c r="I100" s="5">
        <v>1904380.8</v>
      </c>
      <c r="J100" s="2" t="s">
        <v>29</v>
      </c>
      <c r="K100" s="2" t="s">
        <v>846</v>
      </c>
      <c r="L100" s="2" t="s">
        <v>847</v>
      </c>
      <c r="M100" s="2" t="s">
        <v>848</v>
      </c>
      <c r="N100" s="2" t="s">
        <v>33</v>
      </c>
      <c r="O100" s="2" t="s">
        <v>34</v>
      </c>
      <c r="P100" s="2">
        <v>5.1102332E7</v>
      </c>
      <c r="Q100" s="2" t="s">
        <v>754</v>
      </c>
      <c r="R100" s="6">
        <v>960.0</v>
      </c>
      <c r="S100" s="2" t="s">
        <v>141</v>
      </c>
      <c r="T100" s="7">
        <v>1667.0</v>
      </c>
      <c r="U100" s="5">
        <v>1600320.0</v>
      </c>
      <c r="V100" s="2" t="s">
        <v>849</v>
      </c>
      <c r="W100" s="2" t="s">
        <v>850</v>
      </c>
      <c r="X100" s="2">
        <v>5.1102332E7</v>
      </c>
      <c r="Y100" s="2" t="s">
        <v>847</v>
      </c>
      <c r="Z100" s="2" t="s">
        <v>851</v>
      </c>
    </row>
    <row r="101">
      <c r="A101" s="2" t="s">
        <v>852</v>
      </c>
      <c r="B101" s="3">
        <v>45761.0</v>
      </c>
      <c r="C101" s="2" t="s">
        <v>853</v>
      </c>
      <c r="D101" s="2" t="s">
        <v>854</v>
      </c>
      <c r="E101" s="4">
        <v>480000.0</v>
      </c>
      <c r="F101" s="5">
        <v>0.0</v>
      </c>
      <c r="G101" s="5">
        <v>0.0</v>
      </c>
      <c r="H101" s="5">
        <v>91200.0</v>
      </c>
      <c r="I101" s="5">
        <v>571200.0</v>
      </c>
      <c r="J101" s="2" t="s">
        <v>29</v>
      </c>
      <c r="K101" s="2" t="s">
        <v>751</v>
      </c>
      <c r="L101" s="2" t="s">
        <v>752</v>
      </c>
      <c r="M101" s="2" t="s">
        <v>753</v>
      </c>
      <c r="N101" s="2" t="s">
        <v>33</v>
      </c>
      <c r="O101" s="2" t="s">
        <v>34</v>
      </c>
      <c r="P101" s="2">
        <v>5.1102332E7</v>
      </c>
      <c r="Q101" s="2" t="s">
        <v>754</v>
      </c>
      <c r="R101" s="6">
        <v>300.0</v>
      </c>
      <c r="S101" s="2" t="s">
        <v>141</v>
      </c>
      <c r="T101" s="7">
        <v>1600.0</v>
      </c>
      <c r="U101" s="5">
        <v>480000.0</v>
      </c>
      <c r="V101" s="2" t="s">
        <v>855</v>
      </c>
      <c r="W101" s="2" t="s">
        <v>856</v>
      </c>
      <c r="X101" s="2">
        <v>5.1102332E7</v>
      </c>
      <c r="Y101" s="2" t="s">
        <v>752</v>
      </c>
      <c r="Z101" s="2" t="s">
        <v>857</v>
      </c>
    </row>
    <row r="102">
      <c r="A102" s="2" t="s">
        <v>858</v>
      </c>
      <c r="B102" s="3">
        <v>45543.0</v>
      </c>
      <c r="C102" s="2" t="s">
        <v>859</v>
      </c>
      <c r="D102" s="2" t="s">
        <v>860</v>
      </c>
      <c r="E102" s="4">
        <v>628000.0</v>
      </c>
      <c r="F102" s="5">
        <v>0.0</v>
      </c>
      <c r="G102" s="5">
        <v>20000.0</v>
      </c>
      <c r="H102" s="5">
        <v>123120.0</v>
      </c>
      <c r="I102" s="5">
        <v>771120.0</v>
      </c>
      <c r="J102" s="2" t="s">
        <v>29</v>
      </c>
      <c r="K102" s="2" t="s">
        <v>861</v>
      </c>
      <c r="L102" s="2" t="s">
        <v>862</v>
      </c>
      <c r="N102" s="8" t="s">
        <v>108</v>
      </c>
      <c r="O102" s="2" t="s">
        <v>34</v>
      </c>
      <c r="P102" s="2">
        <v>5.1121718E7</v>
      </c>
      <c r="Q102" s="2" t="s">
        <v>863</v>
      </c>
      <c r="R102" s="6">
        <v>400.0</v>
      </c>
      <c r="S102" s="2" t="s">
        <v>141</v>
      </c>
      <c r="T102" s="7">
        <v>1570.0</v>
      </c>
      <c r="U102" s="5">
        <v>628000.0</v>
      </c>
      <c r="V102" s="2" t="s">
        <v>864</v>
      </c>
      <c r="W102" s="2" t="s">
        <v>865</v>
      </c>
      <c r="X102" s="2">
        <v>5.1121718E7</v>
      </c>
      <c r="Y102" s="2" t="s">
        <v>862</v>
      </c>
      <c r="Z102" s="2" t="s">
        <v>866</v>
      </c>
    </row>
    <row r="103">
      <c r="A103" s="2" t="s">
        <v>867</v>
      </c>
      <c r="B103" s="3">
        <v>45495.0</v>
      </c>
      <c r="C103" s="2" t="s">
        <v>868</v>
      </c>
      <c r="D103" s="2" t="s">
        <v>869</v>
      </c>
      <c r="E103" s="4">
        <v>299000.0</v>
      </c>
      <c r="F103" s="5">
        <v>0.0</v>
      </c>
      <c r="G103" s="5">
        <v>0.0</v>
      </c>
      <c r="H103" s="5">
        <v>56810.0</v>
      </c>
      <c r="I103" s="5">
        <v>355810.0</v>
      </c>
      <c r="J103" s="2" t="s">
        <v>29</v>
      </c>
      <c r="K103" s="2" t="s">
        <v>301</v>
      </c>
      <c r="L103" s="2" t="s">
        <v>302</v>
      </c>
      <c r="M103" s="2" t="s">
        <v>45</v>
      </c>
      <c r="N103" s="8" t="s">
        <v>182</v>
      </c>
      <c r="O103" s="2" t="s">
        <v>34</v>
      </c>
      <c r="P103" s="2">
        <v>5.1131808E7</v>
      </c>
      <c r="Q103" s="2" t="s">
        <v>870</v>
      </c>
      <c r="R103" s="6">
        <v>200.0</v>
      </c>
      <c r="S103" s="2" t="s">
        <v>141</v>
      </c>
      <c r="T103" s="7">
        <v>1495.0</v>
      </c>
      <c r="U103" s="5">
        <v>299000.0</v>
      </c>
      <c r="V103" s="2" t="s">
        <v>871</v>
      </c>
      <c r="W103" s="2" t="s">
        <v>872</v>
      </c>
      <c r="X103" s="2">
        <v>5.1131808E7</v>
      </c>
      <c r="Y103" s="2" t="s">
        <v>302</v>
      </c>
      <c r="Z103" s="2" t="s">
        <v>873</v>
      </c>
    </row>
    <row r="104">
      <c r="A104" s="2" t="s">
        <v>874</v>
      </c>
      <c r="B104" s="3">
        <v>45740.0</v>
      </c>
      <c r="C104" s="2" t="s">
        <v>875</v>
      </c>
      <c r="D104" s="2" t="s">
        <v>876</v>
      </c>
      <c r="E104" s="4">
        <v>292400.0</v>
      </c>
      <c r="F104" s="5">
        <v>0.0</v>
      </c>
      <c r="G104" s="5">
        <v>0.0</v>
      </c>
      <c r="H104" s="5">
        <v>55556.0</v>
      </c>
      <c r="I104" s="5">
        <v>347956.0</v>
      </c>
      <c r="J104" s="2" t="s">
        <v>29</v>
      </c>
      <c r="K104" s="2" t="s">
        <v>60</v>
      </c>
      <c r="L104" s="2" t="s">
        <v>61</v>
      </c>
      <c r="M104" s="2" t="s">
        <v>62</v>
      </c>
      <c r="N104" s="2" t="s">
        <v>63</v>
      </c>
      <c r="O104" s="2" t="s">
        <v>34</v>
      </c>
      <c r="P104" s="2">
        <v>5.1191905E7</v>
      </c>
      <c r="Q104" s="2" t="s">
        <v>877</v>
      </c>
      <c r="R104" s="6">
        <v>200.0</v>
      </c>
      <c r="S104" s="2" t="s">
        <v>80</v>
      </c>
      <c r="T104" s="7">
        <v>1462.0</v>
      </c>
      <c r="U104" s="5">
        <v>292400.0</v>
      </c>
      <c r="V104" s="2" t="s">
        <v>878</v>
      </c>
      <c r="W104" s="2" t="s">
        <v>879</v>
      </c>
      <c r="X104" s="2">
        <v>5.1191905E7</v>
      </c>
      <c r="Y104" s="2" t="s">
        <v>61</v>
      </c>
      <c r="Z104" s="2" t="s">
        <v>67</v>
      </c>
    </row>
    <row r="105">
      <c r="A105" s="2" t="s">
        <v>880</v>
      </c>
      <c r="B105" s="3">
        <v>45432.0</v>
      </c>
      <c r="C105" s="2" t="s">
        <v>881</v>
      </c>
      <c r="D105" s="2" t="s">
        <v>882</v>
      </c>
      <c r="E105" s="4">
        <v>870000.0</v>
      </c>
      <c r="F105" s="5">
        <v>0.0</v>
      </c>
      <c r="G105" s="5">
        <v>0.0</v>
      </c>
      <c r="H105" s="5">
        <v>165300.0</v>
      </c>
      <c r="I105" s="5">
        <v>1035300.0</v>
      </c>
      <c r="J105" s="2" t="s">
        <v>29</v>
      </c>
      <c r="K105" s="2" t="s">
        <v>301</v>
      </c>
      <c r="L105" s="2" t="s">
        <v>302</v>
      </c>
      <c r="M105" s="2" t="s">
        <v>45</v>
      </c>
      <c r="N105" s="2" t="s">
        <v>108</v>
      </c>
      <c r="O105" s="2" t="s">
        <v>34</v>
      </c>
      <c r="P105" s="2">
        <v>5.1131808E7</v>
      </c>
      <c r="Q105" s="2" t="s">
        <v>883</v>
      </c>
      <c r="R105" s="6">
        <v>600.0</v>
      </c>
      <c r="S105" s="2" t="s">
        <v>141</v>
      </c>
      <c r="T105" s="7">
        <v>1450.0</v>
      </c>
      <c r="U105" s="5">
        <v>870000.0</v>
      </c>
      <c r="V105" s="2" t="s">
        <v>884</v>
      </c>
      <c r="W105" s="2" t="s">
        <v>885</v>
      </c>
      <c r="X105" s="2">
        <v>5.1131808E7</v>
      </c>
      <c r="Y105" s="2" t="s">
        <v>302</v>
      </c>
      <c r="Z105" s="2" t="s">
        <v>886</v>
      </c>
    </row>
    <row r="106">
      <c r="A106" s="2" t="s">
        <v>887</v>
      </c>
      <c r="B106" s="3">
        <v>45411.0</v>
      </c>
      <c r="C106" s="2" t="s">
        <v>888</v>
      </c>
      <c r="D106" s="2" t="s">
        <v>889</v>
      </c>
      <c r="E106" s="4">
        <v>1280124.0</v>
      </c>
      <c r="F106" s="5">
        <v>0.0</v>
      </c>
      <c r="G106" s="5">
        <v>0.0</v>
      </c>
      <c r="H106" s="5">
        <v>243223.56</v>
      </c>
      <c r="I106" s="5">
        <v>1523347.56</v>
      </c>
      <c r="J106" s="2" t="s">
        <v>368</v>
      </c>
      <c r="K106" s="2" t="s">
        <v>541</v>
      </c>
      <c r="L106" s="2" t="s">
        <v>542</v>
      </c>
      <c r="M106" s="2" t="s">
        <v>543</v>
      </c>
      <c r="N106" s="2" t="s">
        <v>33</v>
      </c>
      <c r="O106" s="2" t="s">
        <v>34</v>
      </c>
      <c r="P106" s="2">
        <v>5.110271E7</v>
      </c>
      <c r="Q106" s="2" t="s">
        <v>890</v>
      </c>
      <c r="R106" s="6">
        <v>972.0</v>
      </c>
      <c r="S106" s="2" t="s">
        <v>120</v>
      </c>
      <c r="T106" s="7">
        <v>1317.0</v>
      </c>
      <c r="U106" s="5">
        <v>1280124.0</v>
      </c>
      <c r="V106" s="2" t="s">
        <v>891</v>
      </c>
      <c r="W106" s="2" t="s">
        <v>892</v>
      </c>
      <c r="X106" s="2">
        <v>5.110271E7</v>
      </c>
      <c r="Y106" s="2" t="s">
        <v>542</v>
      </c>
      <c r="Z106" s="2" t="s">
        <v>893</v>
      </c>
    </row>
    <row r="107">
      <c r="A107" s="2" t="s">
        <v>894</v>
      </c>
      <c r="B107" s="3">
        <v>45385.0</v>
      </c>
      <c r="C107" s="2" t="s">
        <v>895</v>
      </c>
      <c r="D107" s="2" t="s">
        <v>896</v>
      </c>
      <c r="E107" s="4">
        <v>453600.0</v>
      </c>
      <c r="F107" s="5">
        <v>0.0</v>
      </c>
      <c r="G107" s="5">
        <v>0.0</v>
      </c>
      <c r="H107" s="5">
        <v>86184.0</v>
      </c>
      <c r="I107" s="5">
        <v>539784.0</v>
      </c>
      <c r="J107" s="2" t="s">
        <v>368</v>
      </c>
      <c r="K107" s="2" t="s">
        <v>897</v>
      </c>
      <c r="L107" s="2" t="s">
        <v>898</v>
      </c>
      <c r="M107" s="2" t="s">
        <v>595</v>
      </c>
      <c r="N107" s="2" t="s">
        <v>33</v>
      </c>
      <c r="O107" s="2" t="s">
        <v>34</v>
      </c>
      <c r="P107" s="2">
        <v>4.2294705E7</v>
      </c>
      <c r="Q107" s="2" t="s">
        <v>805</v>
      </c>
      <c r="R107" s="6">
        <v>360.0</v>
      </c>
      <c r="S107" s="2" t="s">
        <v>806</v>
      </c>
      <c r="T107" s="7">
        <v>1260.0</v>
      </c>
      <c r="U107" s="5">
        <v>453600.0</v>
      </c>
      <c r="V107" s="2" t="s">
        <v>899</v>
      </c>
      <c r="W107" s="2" t="s">
        <v>808</v>
      </c>
      <c r="X107" s="2">
        <v>4.2294705E7</v>
      </c>
      <c r="Y107" s="2" t="s">
        <v>898</v>
      </c>
      <c r="Z107" s="2" t="s">
        <v>900</v>
      </c>
    </row>
    <row r="108">
      <c r="A108" s="2" t="s">
        <v>901</v>
      </c>
      <c r="B108" s="3">
        <v>45994.0</v>
      </c>
      <c r="C108" s="2" t="s">
        <v>902</v>
      </c>
      <c r="D108" s="2" t="s">
        <v>903</v>
      </c>
      <c r="E108" s="4">
        <v>1388400.0</v>
      </c>
      <c r="F108" s="5">
        <v>0.0</v>
      </c>
      <c r="G108" s="5">
        <v>0.0</v>
      </c>
      <c r="H108" s="5">
        <v>263796.0</v>
      </c>
      <c r="I108" s="5">
        <v>1652196.0</v>
      </c>
      <c r="J108" s="2" t="s">
        <v>29</v>
      </c>
      <c r="K108" s="2" t="s">
        <v>904</v>
      </c>
      <c r="L108" s="2" t="s">
        <v>905</v>
      </c>
      <c r="M108" s="2" t="s">
        <v>906</v>
      </c>
      <c r="N108" s="2" t="s">
        <v>182</v>
      </c>
      <c r="O108" s="2" t="s">
        <v>34</v>
      </c>
      <c r="P108" s="2">
        <v>5.1142235E7</v>
      </c>
      <c r="Q108" s="2" t="s">
        <v>907</v>
      </c>
      <c r="R108" s="6">
        <v>1200.0</v>
      </c>
      <c r="S108" s="2" t="s">
        <v>120</v>
      </c>
      <c r="T108" s="7">
        <v>1157.0</v>
      </c>
      <c r="U108" s="5">
        <v>1388400.0</v>
      </c>
      <c r="V108" s="2" t="s">
        <v>908</v>
      </c>
      <c r="W108" s="2" t="s">
        <v>909</v>
      </c>
      <c r="X108" s="2">
        <v>5.1142235E7</v>
      </c>
      <c r="Y108" s="2" t="s">
        <v>905</v>
      </c>
      <c r="Z108" s="2" t="s">
        <v>910</v>
      </c>
    </row>
    <row r="109">
      <c r="A109" s="2" t="s">
        <v>911</v>
      </c>
      <c r="B109" s="3">
        <v>45769.0</v>
      </c>
      <c r="C109" s="2" t="s">
        <v>912</v>
      </c>
      <c r="D109" s="2" t="s">
        <v>913</v>
      </c>
      <c r="E109" s="4">
        <v>921600.0</v>
      </c>
      <c r="F109" s="5">
        <v>0.0</v>
      </c>
      <c r="G109" s="5">
        <v>0.0</v>
      </c>
      <c r="H109" s="5">
        <v>175104.0</v>
      </c>
      <c r="I109" s="5">
        <v>1096704.0</v>
      </c>
      <c r="J109" s="2" t="s">
        <v>29</v>
      </c>
      <c r="K109" s="2" t="s">
        <v>610</v>
      </c>
      <c r="L109" s="2" t="s">
        <v>611</v>
      </c>
      <c r="N109" s="2" t="s">
        <v>612</v>
      </c>
      <c r="O109" s="2" t="s">
        <v>34</v>
      </c>
      <c r="P109" s="2">
        <v>8.5121902E7</v>
      </c>
      <c r="Q109" s="2" t="s">
        <v>914</v>
      </c>
      <c r="R109" s="6">
        <v>900.0</v>
      </c>
      <c r="S109" s="2" t="s">
        <v>573</v>
      </c>
      <c r="T109" s="7">
        <v>1024.0</v>
      </c>
      <c r="U109" s="5">
        <v>921600.0</v>
      </c>
      <c r="V109" s="2" t="s">
        <v>915</v>
      </c>
      <c r="W109" s="2" t="s">
        <v>916</v>
      </c>
      <c r="X109" s="2">
        <v>8.5121902E7</v>
      </c>
      <c r="Y109" s="2" t="s">
        <v>611</v>
      </c>
      <c r="Z109" s="2" t="s">
        <v>917</v>
      </c>
    </row>
    <row r="110">
      <c r="A110" s="2" t="s">
        <v>918</v>
      </c>
      <c r="B110" s="3">
        <v>45922.0</v>
      </c>
      <c r="C110" s="2" t="s">
        <v>919</v>
      </c>
      <c r="D110" s="2" t="s">
        <v>920</v>
      </c>
      <c r="E110" s="4">
        <v>600000.0</v>
      </c>
      <c r="F110" s="5">
        <v>0.0</v>
      </c>
      <c r="G110" s="5">
        <v>0.0</v>
      </c>
      <c r="H110" s="5">
        <v>114000.0</v>
      </c>
      <c r="I110" s="5">
        <v>714000.0</v>
      </c>
      <c r="J110" s="2" t="s">
        <v>29</v>
      </c>
      <c r="K110" s="2" t="s">
        <v>921</v>
      </c>
      <c r="L110" s="2" t="s">
        <v>922</v>
      </c>
      <c r="M110" s="2" t="s">
        <v>923</v>
      </c>
      <c r="N110" s="2" t="s">
        <v>33</v>
      </c>
      <c r="O110" s="2" t="s">
        <v>34</v>
      </c>
      <c r="P110" s="2">
        <v>5.1142618E7</v>
      </c>
      <c r="Q110" s="2" t="s">
        <v>924</v>
      </c>
      <c r="R110" s="6">
        <v>600.0</v>
      </c>
      <c r="S110" s="2" t="s">
        <v>141</v>
      </c>
      <c r="T110" s="7">
        <v>1000.0</v>
      </c>
      <c r="U110" s="5">
        <v>600000.0</v>
      </c>
      <c r="V110" s="2" t="s">
        <v>925</v>
      </c>
      <c r="W110" s="2" t="s">
        <v>926</v>
      </c>
      <c r="X110" s="2">
        <v>5.1142618E7</v>
      </c>
      <c r="Y110" s="2" t="s">
        <v>922</v>
      </c>
      <c r="Z110" s="2" t="s">
        <v>927</v>
      </c>
    </row>
    <row r="111">
      <c r="A111" s="2" t="s">
        <v>928</v>
      </c>
      <c r="B111" s="3">
        <v>45742.0</v>
      </c>
      <c r="C111" s="2" t="s">
        <v>929</v>
      </c>
      <c r="D111" s="2" t="s">
        <v>930</v>
      </c>
      <c r="E111" s="4">
        <v>1755000.0</v>
      </c>
      <c r="F111" s="5">
        <v>0.0</v>
      </c>
      <c r="G111" s="5">
        <v>0.0</v>
      </c>
      <c r="H111" s="5">
        <v>333450.0</v>
      </c>
      <c r="I111" s="5">
        <v>2088450.0</v>
      </c>
      <c r="J111" s="2" t="s">
        <v>29</v>
      </c>
      <c r="K111" s="2" t="s">
        <v>190</v>
      </c>
      <c r="L111" s="2" t="s">
        <v>191</v>
      </c>
      <c r="M111" s="2" t="s">
        <v>192</v>
      </c>
      <c r="N111" s="2" t="s">
        <v>63</v>
      </c>
      <c r="O111" s="2" t="s">
        <v>34</v>
      </c>
      <c r="P111" s="2">
        <v>5.1142235E7</v>
      </c>
      <c r="Q111" s="2" t="s">
        <v>931</v>
      </c>
      <c r="R111" s="6">
        <v>1800.0</v>
      </c>
      <c r="S111" s="2" t="s">
        <v>120</v>
      </c>
      <c r="T111" s="7">
        <v>975.0</v>
      </c>
      <c r="U111" s="5">
        <v>1755000.0</v>
      </c>
      <c r="V111" s="2" t="s">
        <v>932</v>
      </c>
      <c r="W111" s="2" t="s">
        <v>933</v>
      </c>
      <c r="X111" s="2">
        <v>5.1142235E7</v>
      </c>
      <c r="Y111" s="2" t="s">
        <v>191</v>
      </c>
      <c r="Z111" s="2" t="s">
        <v>934</v>
      </c>
    </row>
    <row r="112">
      <c r="A112" s="2" t="s">
        <v>935</v>
      </c>
      <c r="B112" s="3">
        <v>45922.0</v>
      </c>
      <c r="C112" s="2" t="s">
        <v>936</v>
      </c>
      <c r="D112" s="2" t="s">
        <v>937</v>
      </c>
      <c r="E112" s="4">
        <v>230400.0</v>
      </c>
      <c r="F112" s="5">
        <v>0.0</v>
      </c>
      <c r="G112" s="5">
        <v>0.0</v>
      </c>
      <c r="H112" s="5">
        <v>43776.0</v>
      </c>
      <c r="I112" s="5">
        <v>274176.0</v>
      </c>
      <c r="J112" s="2" t="s">
        <v>29</v>
      </c>
      <c r="K112" s="2" t="s">
        <v>921</v>
      </c>
      <c r="L112" s="2" t="s">
        <v>922</v>
      </c>
      <c r="M112" s="2" t="s">
        <v>923</v>
      </c>
      <c r="N112" s="2" t="s">
        <v>33</v>
      </c>
      <c r="O112" s="2" t="s">
        <v>34</v>
      </c>
      <c r="P112" s="2">
        <v>5.1142618E7</v>
      </c>
      <c r="Q112" s="2" t="s">
        <v>938</v>
      </c>
      <c r="R112" s="6">
        <v>240.0</v>
      </c>
      <c r="S112" s="2" t="s">
        <v>141</v>
      </c>
      <c r="T112" s="7">
        <v>960.0</v>
      </c>
      <c r="U112" s="5">
        <v>230400.0</v>
      </c>
      <c r="V112" s="2" t="s">
        <v>939</v>
      </c>
      <c r="W112" s="2" t="s">
        <v>940</v>
      </c>
      <c r="X112" s="2">
        <v>5.1142618E7</v>
      </c>
      <c r="Y112" s="2" t="s">
        <v>922</v>
      </c>
      <c r="Z112" s="2" t="s">
        <v>941</v>
      </c>
    </row>
    <row r="113">
      <c r="A113" s="2" t="s">
        <v>942</v>
      </c>
      <c r="B113" s="3">
        <v>45813.0</v>
      </c>
      <c r="C113" s="2" t="s">
        <v>943</v>
      </c>
      <c r="D113" s="2" t="s">
        <v>944</v>
      </c>
      <c r="E113" s="4">
        <v>425700.0</v>
      </c>
      <c r="F113" s="5">
        <v>0.0</v>
      </c>
      <c r="G113" s="5">
        <v>0.0</v>
      </c>
      <c r="H113" s="5">
        <v>80883.0</v>
      </c>
      <c r="I113" s="5">
        <v>506583.0</v>
      </c>
      <c r="J113" s="2" t="s">
        <v>29</v>
      </c>
      <c r="K113" s="2" t="s">
        <v>190</v>
      </c>
      <c r="L113" s="2" t="s">
        <v>191</v>
      </c>
      <c r="M113" s="2" t="s">
        <v>192</v>
      </c>
      <c r="N113" s="2" t="s">
        <v>63</v>
      </c>
      <c r="O113" s="2" t="s">
        <v>34</v>
      </c>
      <c r="P113" s="2">
        <v>5.124122E7</v>
      </c>
      <c r="Q113" s="2" t="s">
        <v>945</v>
      </c>
      <c r="R113" s="6">
        <v>450.0</v>
      </c>
      <c r="S113" s="2" t="s">
        <v>36</v>
      </c>
      <c r="T113" s="7">
        <v>946.0</v>
      </c>
      <c r="U113" s="5">
        <v>425700.0</v>
      </c>
      <c r="V113" s="2" t="s">
        <v>946</v>
      </c>
      <c r="W113" s="2" t="s">
        <v>947</v>
      </c>
      <c r="X113" s="2">
        <v>5.124122E7</v>
      </c>
      <c r="Y113" s="2" t="s">
        <v>191</v>
      </c>
      <c r="Z113" s="2" t="s">
        <v>948</v>
      </c>
    </row>
    <row r="114">
      <c r="A114" s="2" t="s">
        <v>949</v>
      </c>
      <c r="B114" s="3">
        <v>45492.0</v>
      </c>
      <c r="C114" s="2" t="s">
        <v>950</v>
      </c>
      <c r="D114" s="2" t="s">
        <v>951</v>
      </c>
      <c r="E114" s="4">
        <v>450000.0</v>
      </c>
      <c r="F114" s="5">
        <v>0.0</v>
      </c>
      <c r="G114" s="5">
        <v>0.0</v>
      </c>
      <c r="H114" s="5">
        <v>85500.0</v>
      </c>
      <c r="I114" s="5">
        <v>535500.0</v>
      </c>
      <c r="J114" s="2" t="s">
        <v>29</v>
      </c>
      <c r="K114" s="2" t="s">
        <v>952</v>
      </c>
      <c r="L114" s="2" t="s">
        <v>953</v>
      </c>
      <c r="M114" s="2" t="s">
        <v>954</v>
      </c>
      <c r="N114" s="8" t="s">
        <v>63</v>
      </c>
      <c r="O114" s="2" t="s">
        <v>34</v>
      </c>
      <c r="P114" s="2">
        <v>5.1142149E7</v>
      </c>
      <c r="Q114" s="2" t="s">
        <v>955</v>
      </c>
      <c r="R114" s="6">
        <v>500.0</v>
      </c>
      <c r="S114" s="2" t="s">
        <v>80</v>
      </c>
      <c r="T114" s="7">
        <v>900.0</v>
      </c>
      <c r="U114" s="5">
        <v>450000.0</v>
      </c>
      <c r="V114" s="2" t="s">
        <v>956</v>
      </c>
      <c r="W114" s="2" t="s">
        <v>957</v>
      </c>
      <c r="X114" s="2">
        <v>5.1142149E7</v>
      </c>
      <c r="Y114" s="2" t="s">
        <v>953</v>
      </c>
      <c r="Z114" s="2" t="s">
        <v>958</v>
      </c>
    </row>
    <row r="115">
      <c r="A115" s="2" t="s">
        <v>959</v>
      </c>
      <c r="B115" s="3">
        <v>45742.0</v>
      </c>
      <c r="C115" s="2" t="s">
        <v>960</v>
      </c>
      <c r="D115" s="2" t="s">
        <v>961</v>
      </c>
      <c r="E115" s="4">
        <v>261600.0</v>
      </c>
      <c r="F115" s="5">
        <v>0.0</v>
      </c>
      <c r="G115" s="5">
        <v>0.0</v>
      </c>
      <c r="H115" s="5">
        <v>49704.0</v>
      </c>
      <c r="I115" s="5">
        <v>311304.0</v>
      </c>
      <c r="J115" s="2" t="s">
        <v>29</v>
      </c>
      <c r="K115" s="2" t="s">
        <v>60</v>
      </c>
      <c r="L115" s="2" t="s">
        <v>61</v>
      </c>
      <c r="M115" s="2" t="s">
        <v>62</v>
      </c>
      <c r="N115" s="2" t="s">
        <v>63</v>
      </c>
      <c r="O115" s="2" t="s">
        <v>34</v>
      </c>
      <c r="P115" s="2">
        <v>5.1121515E7</v>
      </c>
      <c r="Q115" s="2" t="s">
        <v>962</v>
      </c>
      <c r="R115" s="6">
        <v>300.0</v>
      </c>
      <c r="S115" s="2" t="s">
        <v>141</v>
      </c>
      <c r="T115" s="7">
        <v>872.0</v>
      </c>
      <c r="U115" s="5">
        <v>261600.0</v>
      </c>
      <c r="V115" s="2" t="s">
        <v>963</v>
      </c>
      <c r="W115" s="2" t="s">
        <v>964</v>
      </c>
      <c r="X115" s="2">
        <v>5.1121515E7</v>
      </c>
      <c r="Y115" s="2" t="s">
        <v>61</v>
      </c>
      <c r="Z115" s="2" t="s">
        <v>67</v>
      </c>
    </row>
    <row r="116">
      <c r="A116" s="2" t="s">
        <v>965</v>
      </c>
      <c r="B116" s="3">
        <v>45495.0</v>
      </c>
      <c r="C116" s="2" t="s">
        <v>966</v>
      </c>
      <c r="D116" s="2" t="s">
        <v>967</v>
      </c>
      <c r="E116" s="4">
        <v>255300.0</v>
      </c>
      <c r="F116" s="5">
        <v>0.0</v>
      </c>
      <c r="G116" s="5">
        <v>0.0</v>
      </c>
      <c r="H116" s="5">
        <v>48507.0</v>
      </c>
      <c r="I116" s="5">
        <v>303807.0</v>
      </c>
      <c r="J116" s="2" t="s">
        <v>29</v>
      </c>
      <c r="K116" s="2" t="s">
        <v>921</v>
      </c>
      <c r="L116" s="2" t="s">
        <v>922</v>
      </c>
      <c r="M116" s="2" t="s">
        <v>923</v>
      </c>
      <c r="N116" s="8" t="s">
        <v>33</v>
      </c>
      <c r="O116" s="2" t="s">
        <v>34</v>
      </c>
      <c r="P116" s="2">
        <v>5.1142618E7</v>
      </c>
      <c r="Q116" s="2" t="s">
        <v>968</v>
      </c>
      <c r="R116" s="6">
        <v>300.0</v>
      </c>
      <c r="S116" s="2" t="s">
        <v>141</v>
      </c>
      <c r="T116" s="7">
        <v>851.0</v>
      </c>
      <c r="U116" s="5">
        <v>255300.0</v>
      </c>
      <c r="V116" s="2" t="s">
        <v>969</v>
      </c>
      <c r="W116" s="2" t="s">
        <v>970</v>
      </c>
      <c r="X116" s="2">
        <v>5.1142618E7</v>
      </c>
      <c r="Y116" s="2" t="s">
        <v>922</v>
      </c>
      <c r="Z116" s="2" t="s">
        <v>971</v>
      </c>
    </row>
    <row r="117">
      <c r="A117" s="2" t="s">
        <v>972</v>
      </c>
      <c r="B117" s="3">
        <v>45670.0</v>
      </c>
      <c r="C117" s="2" t="s">
        <v>973</v>
      </c>
      <c r="D117" s="2" t="s">
        <v>974</v>
      </c>
      <c r="E117" s="4">
        <v>248400.0</v>
      </c>
      <c r="F117" s="5">
        <v>0.0</v>
      </c>
      <c r="G117" s="5">
        <v>0.0</v>
      </c>
      <c r="H117" s="5">
        <v>47196.0</v>
      </c>
      <c r="I117" s="5">
        <v>295596.0</v>
      </c>
      <c r="J117" s="2" t="s">
        <v>29</v>
      </c>
      <c r="K117" s="2" t="s">
        <v>60</v>
      </c>
      <c r="L117" s="2" t="s">
        <v>61</v>
      </c>
      <c r="M117" s="2" t="s">
        <v>62</v>
      </c>
      <c r="N117" s="2" t="s">
        <v>63</v>
      </c>
      <c r="O117" s="2" t="s">
        <v>34</v>
      </c>
      <c r="P117" s="2">
        <v>8.5121902E7</v>
      </c>
      <c r="Q117" s="2" t="s">
        <v>975</v>
      </c>
      <c r="R117" s="6">
        <v>300.0</v>
      </c>
      <c r="S117" s="2" t="s">
        <v>141</v>
      </c>
      <c r="T117" s="7">
        <v>828.0</v>
      </c>
      <c r="U117" s="5">
        <v>248400.0</v>
      </c>
      <c r="V117" s="2" t="s">
        <v>976</v>
      </c>
      <c r="W117" s="2" t="s">
        <v>977</v>
      </c>
      <c r="X117" s="2">
        <v>8.5121902E7</v>
      </c>
      <c r="Y117" s="2" t="s">
        <v>61</v>
      </c>
      <c r="Z117" s="2" t="s">
        <v>67</v>
      </c>
    </row>
    <row r="118">
      <c r="A118" s="2" t="s">
        <v>978</v>
      </c>
      <c r="B118" s="3">
        <v>45495.0</v>
      </c>
      <c r="C118" s="2" t="s">
        <v>979</v>
      </c>
      <c r="D118" s="2" t="s">
        <v>980</v>
      </c>
      <c r="E118" s="4">
        <v>240600.0</v>
      </c>
      <c r="F118" s="5">
        <v>0.0</v>
      </c>
      <c r="G118" s="5">
        <v>0.0</v>
      </c>
      <c r="H118" s="5">
        <v>45714.0</v>
      </c>
      <c r="I118" s="5">
        <v>286314.0</v>
      </c>
      <c r="J118" s="2" t="s">
        <v>29</v>
      </c>
      <c r="K118" s="2" t="s">
        <v>921</v>
      </c>
      <c r="L118" s="2" t="s">
        <v>922</v>
      </c>
      <c r="M118" s="2" t="s">
        <v>923</v>
      </c>
      <c r="N118" s="8" t="s">
        <v>33</v>
      </c>
      <c r="O118" s="2" t="s">
        <v>34</v>
      </c>
      <c r="P118" s="2">
        <v>5.1142618E7</v>
      </c>
      <c r="Q118" s="2" t="s">
        <v>981</v>
      </c>
      <c r="R118" s="6">
        <v>300.0</v>
      </c>
      <c r="S118" s="2" t="s">
        <v>141</v>
      </c>
      <c r="T118" s="7">
        <v>802.0</v>
      </c>
      <c r="U118" s="5">
        <v>240600.0</v>
      </c>
      <c r="V118" s="2" t="s">
        <v>982</v>
      </c>
      <c r="W118" s="2" t="s">
        <v>983</v>
      </c>
      <c r="X118" s="2">
        <v>5.1142618E7</v>
      </c>
      <c r="Y118" s="2" t="s">
        <v>922</v>
      </c>
      <c r="Z118" s="2" t="s">
        <v>984</v>
      </c>
    </row>
    <row r="119">
      <c r="A119" s="2" t="s">
        <v>985</v>
      </c>
      <c r="B119" s="3">
        <v>45934.0</v>
      </c>
      <c r="C119" s="2" t="s">
        <v>986</v>
      </c>
      <c r="D119" s="2" t="s">
        <v>987</v>
      </c>
      <c r="E119" s="4">
        <v>320000.0</v>
      </c>
      <c r="F119" s="5">
        <v>0.0</v>
      </c>
      <c r="G119" s="5">
        <v>0.0</v>
      </c>
      <c r="H119" s="5">
        <v>60800.0</v>
      </c>
      <c r="I119" s="5">
        <v>380800.0</v>
      </c>
      <c r="J119" s="2" t="s">
        <v>29</v>
      </c>
      <c r="K119" s="2" t="s">
        <v>988</v>
      </c>
      <c r="L119" s="2" t="s">
        <v>989</v>
      </c>
      <c r="M119" s="2" t="s">
        <v>62</v>
      </c>
      <c r="N119" s="2" t="s">
        <v>63</v>
      </c>
      <c r="O119" s="2" t="s">
        <v>34</v>
      </c>
      <c r="P119" s="2">
        <v>5.1191507E7</v>
      </c>
      <c r="Q119" s="2" t="s">
        <v>990</v>
      </c>
      <c r="R119" s="6">
        <v>400.0</v>
      </c>
      <c r="S119" s="2" t="s">
        <v>141</v>
      </c>
      <c r="T119" s="7">
        <v>800.0</v>
      </c>
      <c r="U119" s="5">
        <v>320000.0</v>
      </c>
      <c r="V119" s="2" t="s">
        <v>991</v>
      </c>
      <c r="W119" s="2" t="s">
        <v>992</v>
      </c>
      <c r="X119" s="2">
        <v>5.1191507E7</v>
      </c>
      <c r="Y119" s="2" t="s">
        <v>989</v>
      </c>
      <c r="Z119" s="2" t="s">
        <v>993</v>
      </c>
    </row>
    <row r="120">
      <c r="A120" s="2" t="s">
        <v>994</v>
      </c>
      <c r="B120" s="3">
        <v>45471.0</v>
      </c>
      <c r="C120" s="2" t="s">
        <v>995</v>
      </c>
      <c r="D120" s="2" t="s">
        <v>996</v>
      </c>
      <c r="E120" s="4">
        <v>715500.0</v>
      </c>
      <c r="F120" s="5">
        <v>0.0</v>
      </c>
      <c r="G120" s="5">
        <v>0.0</v>
      </c>
      <c r="H120" s="5">
        <v>135945.0</v>
      </c>
      <c r="I120" s="5">
        <v>851445.0</v>
      </c>
      <c r="J120" s="2" t="s">
        <v>29</v>
      </c>
      <c r="K120" s="2" t="s">
        <v>301</v>
      </c>
      <c r="L120" s="2" t="s">
        <v>302</v>
      </c>
      <c r="M120" s="2" t="s">
        <v>45</v>
      </c>
      <c r="N120" s="2" t="s">
        <v>108</v>
      </c>
      <c r="O120" s="2" t="s">
        <v>34</v>
      </c>
      <c r="P120" s="2">
        <v>8.5121902E7</v>
      </c>
      <c r="Q120" s="2" t="s">
        <v>997</v>
      </c>
      <c r="R120" s="6">
        <v>900.0</v>
      </c>
      <c r="S120" s="2" t="s">
        <v>141</v>
      </c>
      <c r="T120" s="7">
        <v>795.0</v>
      </c>
      <c r="U120" s="5">
        <v>715500.0</v>
      </c>
      <c r="V120" s="2" t="s">
        <v>998</v>
      </c>
      <c r="W120" s="2" t="s">
        <v>999</v>
      </c>
      <c r="X120" s="2">
        <v>8.5121902E7</v>
      </c>
      <c r="Y120" s="2" t="s">
        <v>302</v>
      </c>
      <c r="Z120" s="2" t="s">
        <v>1000</v>
      </c>
    </row>
    <row r="121">
      <c r="A121" s="2" t="s">
        <v>1001</v>
      </c>
      <c r="B121" s="3">
        <v>45623.0</v>
      </c>
      <c r="C121" s="2" t="s">
        <v>1002</v>
      </c>
      <c r="D121" s="2" t="s">
        <v>1003</v>
      </c>
      <c r="E121" s="4">
        <v>467460.0</v>
      </c>
      <c r="F121" s="5">
        <v>0.0</v>
      </c>
      <c r="G121" s="5">
        <v>0.0</v>
      </c>
      <c r="H121" s="5">
        <v>88817.4</v>
      </c>
      <c r="I121" s="5">
        <v>556277.4</v>
      </c>
      <c r="J121" s="2" t="s">
        <v>29</v>
      </c>
      <c r="K121" s="2" t="s">
        <v>301</v>
      </c>
      <c r="L121" s="2" t="s">
        <v>302</v>
      </c>
      <c r="M121" s="2" t="s">
        <v>45</v>
      </c>
      <c r="N121" s="8" t="s">
        <v>182</v>
      </c>
      <c r="O121" s="2" t="s">
        <v>34</v>
      </c>
      <c r="P121" s="2">
        <v>8.5121902E7</v>
      </c>
      <c r="Q121" s="2" t="s">
        <v>997</v>
      </c>
      <c r="R121" s="6">
        <v>588.0</v>
      </c>
      <c r="S121" s="2" t="s">
        <v>141</v>
      </c>
      <c r="T121" s="7">
        <v>795.0</v>
      </c>
      <c r="U121" s="5">
        <v>467460.0</v>
      </c>
      <c r="V121" s="2" t="s">
        <v>1004</v>
      </c>
      <c r="W121" s="2" t="s">
        <v>1005</v>
      </c>
      <c r="X121" s="2">
        <v>8.5121902E7</v>
      </c>
      <c r="Y121" s="2" t="s">
        <v>302</v>
      </c>
      <c r="Z121" s="2" t="s">
        <v>1006</v>
      </c>
    </row>
    <row r="122">
      <c r="A122" s="2" t="s">
        <v>1007</v>
      </c>
      <c r="B122" s="3">
        <v>45750.0</v>
      </c>
      <c r="C122" s="2" t="s">
        <v>1008</v>
      </c>
      <c r="D122" s="2" t="s">
        <v>1009</v>
      </c>
      <c r="E122" s="4">
        <v>1373400.0</v>
      </c>
      <c r="F122" s="5">
        <v>0.0</v>
      </c>
      <c r="G122" s="5">
        <v>0.0</v>
      </c>
      <c r="H122" s="5">
        <v>260946.0</v>
      </c>
      <c r="I122" s="5">
        <v>1634346.0</v>
      </c>
      <c r="J122" s="2" t="s">
        <v>29</v>
      </c>
      <c r="K122" s="2" t="s">
        <v>60</v>
      </c>
      <c r="L122" s="2" t="s">
        <v>61</v>
      </c>
      <c r="M122" s="2" t="s">
        <v>62</v>
      </c>
      <c r="N122" s="2" t="s">
        <v>63</v>
      </c>
      <c r="O122" s="2" t="s">
        <v>34</v>
      </c>
      <c r="P122" s="2">
        <v>8.5121902E7</v>
      </c>
      <c r="Q122" s="2" t="s">
        <v>1010</v>
      </c>
      <c r="R122" s="6">
        <v>1800.0</v>
      </c>
      <c r="S122" s="2" t="s">
        <v>141</v>
      </c>
      <c r="T122" s="7">
        <v>763.0</v>
      </c>
      <c r="U122" s="5">
        <v>1373400.0</v>
      </c>
      <c r="V122" s="2" t="s">
        <v>1011</v>
      </c>
      <c r="W122" s="2" t="s">
        <v>1012</v>
      </c>
      <c r="X122" s="2">
        <v>8.5121902E7</v>
      </c>
      <c r="Y122" s="2" t="s">
        <v>61</v>
      </c>
      <c r="Z122" s="2" t="s">
        <v>67</v>
      </c>
    </row>
    <row r="123">
      <c r="A123" s="2" t="s">
        <v>1013</v>
      </c>
      <c r="B123" s="3">
        <v>45495.0</v>
      </c>
      <c r="C123" s="2" t="s">
        <v>1014</v>
      </c>
      <c r="D123" s="2" t="s">
        <v>1015</v>
      </c>
      <c r="E123" s="4">
        <v>217500.0</v>
      </c>
      <c r="F123" s="5">
        <v>0.0</v>
      </c>
      <c r="G123" s="5">
        <v>0.0</v>
      </c>
      <c r="H123" s="5">
        <v>41325.0</v>
      </c>
      <c r="I123" s="5">
        <v>258825.0</v>
      </c>
      <c r="J123" s="2" t="s">
        <v>29</v>
      </c>
      <c r="K123" s="2" t="s">
        <v>921</v>
      </c>
      <c r="L123" s="2" t="s">
        <v>922</v>
      </c>
      <c r="M123" s="2" t="s">
        <v>923</v>
      </c>
      <c r="N123" s="8" t="s">
        <v>33</v>
      </c>
      <c r="O123" s="2" t="s">
        <v>34</v>
      </c>
      <c r="P123" s="2">
        <v>5.1142618E7</v>
      </c>
      <c r="Q123" s="2" t="s">
        <v>1016</v>
      </c>
      <c r="R123" s="6">
        <v>300.0</v>
      </c>
      <c r="S123" s="2" t="s">
        <v>141</v>
      </c>
      <c r="T123" s="7">
        <v>725.0</v>
      </c>
      <c r="U123" s="5">
        <v>217500.0</v>
      </c>
      <c r="V123" s="2" t="s">
        <v>1017</v>
      </c>
      <c r="W123" s="2" t="s">
        <v>1018</v>
      </c>
      <c r="X123" s="2">
        <v>5.1142618E7</v>
      </c>
      <c r="Y123" s="2" t="s">
        <v>922</v>
      </c>
      <c r="Z123" s="2" t="s">
        <v>1019</v>
      </c>
    </row>
    <row r="124">
      <c r="A124" s="2" t="s">
        <v>1020</v>
      </c>
      <c r="B124" s="3">
        <v>45934.0</v>
      </c>
      <c r="C124" s="2" t="s">
        <v>1021</v>
      </c>
      <c r="D124" s="2" t="s">
        <v>1022</v>
      </c>
      <c r="E124" s="4">
        <v>280000.0</v>
      </c>
      <c r="F124" s="5">
        <v>0.0</v>
      </c>
      <c r="G124" s="5">
        <v>0.0</v>
      </c>
      <c r="H124" s="5">
        <v>53200.0</v>
      </c>
      <c r="I124" s="5">
        <v>333200.0</v>
      </c>
      <c r="J124" s="2" t="s">
        <v>29</v>
      </c>
      <c r="K124" s="2" t="s">
        <v>988</v>
      </c>
      <c r="L124" s="2" t="s">
        <v>989</v>
      </c>
      <c r="M124" s="2" t="s">
        <v>62</v>
      </c>
      <c r="N124" s="2" t="s">
        <v>63</v>
      </c>
      <c r="O124" s="2" t="s">
        <v>34</v>
      </c>
      <c r="P124" s="2">
        <v>5.1191506E7</v>
      </c>
      <c r="Q124" s="2" t="s">
        <v>1023</v>
      </c>
      <c r="R124" s="6">
        <v>400.0</v>
      </c>
      <c r="S124" s="2" t="s">
        <v>141</v>
      </c>
      <c r="T124" s="7">
        <v>700.0</v>
      </c>
      <c r="U124" s="5">
        <v>280000.0</v>
      </c>
      <c r="V124" s="2" t="s">
        <v>1024</v>
      </c>
      <c r="W124" s="2" t="s">
        <v>1025</v>
      </c>
      <c r="X124" s="2">
        <v>5.1191506E7</v>
      </c>
      <c r="Y124" s="2" t="s">
        <v>989</v>
      </c>
      <c r="Z124" s="2" t="s">
        <v>1026</v>
      </c>
    </row>
    <row r="125">
      <c r="A125" s="2" t="s">
        <v>1027</v>
      </c>
      <c r="B125" s="3">
        <v>45753.0</v>
      </c>
      <c r="C125" s="2" t="s">
        <v>1028</v>
      </c>
      <c r="D125" s="2" t="s">
        <v>1029</v>
      </c>
      <c r="E125" s="4">
        <v>130944.0</v>
      </c>
      <c r="F125" s="5">
        <v>0.0</v>
      </c>
      <c r="G125" s="5">
        <v>0.0</v>
      </c>
      <c r="H125" s="5">
        <v>24879.36</v>
      </c>
      <c r="I125" s="5">
        <v>155823.36</v>
      </c>
      <c r="J125" s="2" t="s">
        <v>29</v>
      </c>
      <c r="K125" s="2" t="s">
        <v>717</v>
      </c>
      <c r="L125" s="2" t="s">
        <v>718</v>
      </c>
      <c r="M125" s="2" t="s">
        <v>45</v>
      </c>
      <c r="N125" s="2" t="s">
        <v>33</v>
      </c>
      <c r="O125" s="2" t="s">
        <v>34</v>
      </c>
      <c r="P125" s="2">
        <v>5.1191601E7</v>
      </c>
      <c r="Q125" s="2" t="s">
        <v>1030</v>
      </c>
      <c r="R125" s="6">
        <v>192.0</v>
      </c>
      <c r="S125" s="2" t="s">
        <v>36</v>
      </c>
      <c r="T125" s="7">
        <v>682.0</v>
      </c>
      <c r="U125" s="5">
        <v>130944.0</v>
      </c>
      <c r="V125" s="2" t="s">
        <v>1031</v>
      </c>
      <c r="W125" s="2" t="s">
        <v>1032</v>
      </c>
      <c r="X125" s="2">
        <v>5.1191601E7</v>
      </c>
      <c r="Y125" s="2" t="s">
        <v>718</v>
      </c>
      <c r="Z125" s="2" t="s">
        <v>1033</v>
      </c>
    </row>
    <row r="126">
      <c r="A126" s="2" t="s">
        <v>1034</v>
      </c>
      <c r="B126" s="3">
        <v>45342.0</v>
      </c>
      <c r="C126" s="2" t="s">
        <v>1035</v>
      </c>
      <c r="D126" s="2" t="s">
        <v>1036</v>
      </c>
      <c r="E126" s="4">
        <v>66000.0</v>
      </c>
      <c r="F126" s="5">
        <v>0.0</v>
      </c>
      <c r="G126" s="5">
        <v>0.0</v>
      </c>
      <c r="H126" s="5">
        <v>12540.0</v>
      </c>
      <c r="I126" s="5">
        <v>78540.0</v>
      </c>
      <c r="J126" s="2" t="s">
        <v>29</v>
      </c>
      <c r="K126" s="2" t="s">
        <v>717</v>
      </c>
      <c r="L126" s="2" t="s">
        <v>718</v>
      </c>
      <c r="M126" s="2" t="s">
        <v>45</v>
      </c>
      <c r="N126" s="2" t="s">
        <v>33</v>
      </c>
      <c r="O126" s="2" t="s">
        <v>407</v>
      </c>
      <c r="P126" s="2">
        <v>8.5121902E7</v>
      </c>
      <c r="Q126" s="2" t="s">
        <v>1037</v>
      </c>
      <c r="R126" s="6">
        <v>100.0</v>
      </c>
      <c r="S126" s="2" t="s">
        <v>36</v>
      </c>
      <c r="T126" s="7">
        <v>660.0</v>
      </c>
      <c r="U126" s="5">
        <v>66000.0</v>
      </c>
      <c r="V126" s="2" t="s">
        <v>1038</v>
      </c>
      <c r="W126" s="2" t="s">
        <v>1039</v>
      </c>
      <c r="X126" s="2">
        <v>8.5121902E7</v>
      </c>
      <c r="Y126" s="2" t="s">
        <v>718</v>
      </c>
      <c r="Z126" s="2" t="s">
        <v>1040</v>
      </c>
    </row>
    <row r="127">
      <c r="A127" s="2" t="s">
        <v>1041</v>
      </c>
      <c r="B127" s="3">
        <v>45825.0</v>
      </c>
      <c r="C127" s="2" t="s">
        <v>1042</v>
      </c>
      <c r="D127" s="2" t="s">
        <v>1043</v>
      </c>
      <c r="E127" s="4">
        <v>591300.0</v>
      </c>
      <c r="F127" s="5">
        <v>0.0</v>
      </c>
      <c r="G127" s="5">
        <v>0.0</v>
      </c>
      <c r="H127" s="5">
        <v>112347.0</v>
      </c>
      <c r="I127" s="5">
        <v>703647.0</v>
      </c>
      <c r="J127" s="2" t="s">
        <v>29</v>
      </c>
      <c r="K127" s="2" t="s">
        <v>485</v>
      </c>
      <c r="L127" s="2" t="s">
        <v>486</v>
      </c>
      <c r="M127" s="2" t="s">
        <v>487</v>
      </c>
      <c r="N127" s="2" t="s">
        <v>33</v>
      </c>
      <c r="O127" s="2" t="s">
        <v>34</v>
      </c>
      <c r="P127" s="2">
        <v>8.5121902E7</v>
      </c>
      <c r="Q127" s="2" t="s">
        <v>975</v>
      </c>
      <c r="R127" s="6">
        <v>900.0</v>
      </c>
      <c r="S127" s="2" t="s">
        <v>141</v>
      </c>
      <c r="T127" s="7">
        <v>657.0</v>
      </c>
      <c r="U127" s="5">
        <v>591300.0</v>
      </c>
      <c r="V127" s="2" t="s">
        <v>1044</v>
      </c>
      <c r="W127" s="2" t="s">
        <v>1045</v>
      </c>
      <c r="X127" s="2">
        <v>8.5121902E7</v>
      </c>
      <c r="Y127" s="2" t="s">
        <v>486</v>
      </c>
      <c r="Z127" s="2" t="s">
        <v>1046</v>
      </c>
    </row>
    <row r="128">
      <c r="A128" s="2" t="s">
        <v>1047</v>
      </c>
      <c r="B128" s="3">
        <v>45540.0</v>
      </c>
      <c r="C128" s="2" t="s">
        <v>1048</v>
      </c>
      <c r="D128" s="2" t="s">
        <v>1049</v>
      </c>
      <c r="E128" s="4">
        <v>910500.0</v>
      </c>
      <c r="F128" s="5">
        <v>0.0</v>
      </c>
      <c r="G128" s="5">
        <v>0.0</v>
      </c>
      <c r="H128" s="5">
        <v>172995.0</v>
      </c>
      <c r="I128" s="5">
        <v>1083495.0</v>
      </c>
      <c r="J128" s="2" t="s">
        <v>29</v>
      </c>
      <c r="K128" s="2" t="s">
        <v>310</v>
      </c>
      <c r="L128" s="2" t="s">
        <v>311</v>
      </c>
      <c r="M128" s="2" t="s">
        <v>312</v>
      </c>
      <c r="N128" s="2" t="s">
        <v>33</v>
      </c>
      <c r="O128" s="2" t="s">
        <v>34</v>
      </c>
      <c r="P128" s="2">
        <v>5.1121809E7</v>
      </c>
      <c r="Q128" s="2" t="s">
        <v>1050</v>
      </c>
      <c r="R128" s="6">
        <v>1500.0</v>
      </c>
      <c r="S128" s="2" t="s">
        <v>573</v>
      </c>
      <c r="T128" s="7">
        <v>607.0</v>
      </c>
      <c r="U128" s="5">
        <v>910500.0</v>
      </c>
      <c r="V128" s="2" t="s">
        <v>1051</v>
      </c>
      <c r="W128" s="2" t="s">
        <v>1052</v>
      </c>
      <c r="X128" s="2">
        <v>5.1121809E7</v>
      </c>
      <c r="Y128" s="2" t="s">
        <v>311</v>
      </c>
      <c r="Z128" s="2" t="s">
        <v>1053</v>
      </c>
    </row>
    <row r="129">
      <c r="A129" s="2" t="s">
        <v>1054</v>
      </c>
      <c r="B129" s="3">
        <v>45475.0</v>
      </c>
      <c r="C129" s="2" t="s">
        <v>1055</v>
      </c>
      <c r="D129" s="2" t="s">
        <v>1056</v>
      </c>
      <c r="E129" s="4">
        <v>83100.0</v>
      </c>
      <c r="F129" s="5">
        <v>0.0</v>
      </c>
      <c r="G129" s="5">
        <v>0.0</v>
      </c>
      <c r="H129" s="5">
        <v>15789.0</v>
      </c>
      <c r="I129" s="5">
        <v>98889.0</v>
      </c>
      <c r="J129" s="2" t="s">
        <v>29</v>
      </c>
      <c r="K129" s="2" t="s">
        <v>1057</v>
      </c>
      <c r="L129" s="2" t="s">
        <v>1058</v>
      </c>
      <c r="M129" s="2" t="s">
        <v>1059</v>
      </c>
      <c r="N129" s="2" t="s">
        <v>33</v>
      </c>
      <c r="O129" s="2" t="s">
        <v>34</v>
      </c>
      <c r="P129" s="2">
        <v>5.1181742E7</v>
      </c>
      <c r="Q129" s="2" t="s">
        <v>1060</v>
      </c>
      <c r="R129" s="6">
        <v>150.0</v>
      </c>
      <c r="S129" s="2" t="s">
        <v>36</v>
      </c>
      <c r="T129" s="7">
        <v>554.0</v>
      </c>
      <c r="U129" s="5">
        <v>83100.0</v>
      </c>
      <c r="V129" s="2" t="s">
        <v>1061</v>
      </c>
      <c r="W129" s="2" t="s">
        <v>1062</v>
      </c>
      <c r="X129" s="2">
        <v>5.1181742E7</v>
      </c>
      <c r="Y129" s="2" t="s">
        <v>1058</v>
      </c>
      <c r="Z129" s="2" t="s">
        <v>1063</v>
      </c>
    </row>
    <row r="130">
      <c r="A130" s="2" t="s">
        <v>1064</v>
      </c>
      <c r="B130" s="3">
        <v>45540.0</v>
      </c>
      <c r="C130" s="2" t="s">
        <v>1065</v>
      </c>
      <c r="D130" s="2" t="s">
        <v>1066</v>
      </c>
      <c r="E130" s="4">
        <v>820500.0</v>
      </c>
      <c r="F130" s="5">
        <v>0.0</v>
      </c>
      <c r="G130" s="5">
        <v>0.0</v>
      </c>
      <c r="H130" s="5">
        <v>155895.0</v>
      </c>
      <c r="I130" s="5">
        <v>976395.0</v>
      </c>
      <c r="J130" s="2" t="s">
        <v>29</v>
      </c>
      <c r="K130" s="2" t="s">
        <v>620</v>
      </c>
      <c r="L130" s="2" t="s">
        <v>621</v>
      </c>
      <c r="M130" s="2" t="s">
        <v>622</v>
      </c>
      <c r="N130" s="2" t="s">
        <v>33</v>
      </c>
      <c r="O130" s="2" t="s">
        <v>623</v>
      </c>
      <c r="P130" s="2">
        <v>1.1101707E7</v>
      </c>
      <c r="Q130" s="2" t="s">
        <v>1067</v>
      </c>
      <c r="R130" s="6">
        <v>1500.0</v>
      </c>
      <c r="S130" s="2" t="s">
        <v>141</v>
      </c>
      <c r="T130" s="7">
        <v>547.0</v>
      </c>
      <c r="U130" s="5">
        <v>820500.0</v>
      </c>
      <c r="V130" s="2" t="s">
        <v>1068</v>
      </c>
      <c r="W130" s="2" t="s">
        <v>1069</v>
      </c>
      <c r="X130" s="2">
        <v>1.1101707E7</v>
      </c>
      <c r="Y130" s="2" t="s">
        <v>621</v>
      </c>
      <c r="Z130" s="2" t="s">
        <v>791</v>
      </c>
    </row>
    <row r="131">
      <c r="A131" s="2" t="s">
        <v>1070</v>
      </c>
      <c r="B131" s="3">
        <v>45464.0</v>
      </c>
      <c r="C131" s="2" t="s">
        <v>1071</v>
      </c>
      <c r="D131" s="2" t="s">
        <v>1072</v>
      </c>
      <c r="E131" s="4">
        <v>936000.0</v>
      </c>
      <c r="F131" s="5">
        <v>0.0</v>
      </c>
      <c r="G131" s="5">
        <v>0.0</v>
      </c>
      <c r="H131" s="5">
        <v>177840.0</v>
      </c>
      <c r="I131" s="5">
        <v>1113840.0</v>
      </c>
      <c r="J131" s="2" t="s">
        <v>29</v>
      </c>
      <c r="K131" s="2" t="s">
        <v>1073</v>
      </c>
      <c r="L131" s="2" t="s">
        <v>1074</v>
      </c>
      <c r="M131" s="2" t="s">
        <v>1075</v>
      </c>
      <c r="N131" s="2" t="s">
        <v>33</v>
      </c>
      <c r="O131" s="2" t="s">
        <v>34</v>
      </c>
      <c r="P131" s="2">
        <v>8.5121902E7</v>
      </c>
      <c r="Q131" s="2" t="s">
        <v>1076</v>
      </c>
      <c r="R131" s="6">
        <v>1800.0</v>
      </c>
      <c r="S131" s="2" t="s">
        <v>141</v>
      </c>
      <c r="T131" s="7">
        <v>520.0</v>
      </c>
      <c r="U131" s="5">
        <v>936000.0</v>
      </c>
      <c r="V131" s="2" t="s">
        <v>1077</v>
      </c>
      <c r="W131" s="2" t="s">
        <v>1078</v>
      </c>
      <c r="X131" s="2">
        <v>8.5121902E7</v>
      </c>
      <c r="Y131" s="2" t="s">
        <v>1074</v>
      </c>
      <c r="Z131" s="2" t="s">
        <v>1079</v>
      </c>
    </row>
    <row r="132">
      <c r="A132" s="2" t="s">
        <v>1080</v>
      </c>
      <c r="B132" s="3">
        <v>45309.0</v>
      </c>
      <c r="C132" s="2" t="s">
        <v>1081</v>
      </c>
      <c r="D132" s="2" t="s">
        <v>1082</v>
      </c>
      <c r="E132" s="4">
        <v>1121040.0</v>
      </c>
      <c r="F132" s="5">
        <v>0.0</v>
      </c>
      <c r="G132" s="5">
        <v>0.0</v>
      </c>
      <c r="H132" s="5">
        <v>212997.6</v>
      </c>
      <c r="I132" s="5">
        <v>1334037.6</v>
      </c>
      <c r="J132" s="2" t="s">
        <v>29</v>
      </c>
      <c r="K132" s="2" t="s">
        <v>1083</v>
      </c>
      <c r="L132" s="2" t="s">
        <v>1084</v>
      </c>
      <c r="M132" s="2" t="s">
        <v>1085</v>
      </c>
      <c r="N132" s="2" t="s">
        <v>63</v>
      </c>
      <c r="O132" s="2" t="s">
        <v>34</v>
      </c>
      <c r="P132" s="2">
        <v>5.1201501E7</v>
      </c>
      <c r="Q132" s="2" t="s">
        <v>1086</v>
      </c>
      <c r="R132" s="6">
        <v>2160.0</v>
      </c>
      <c r="S132" s="2" t="s">
        <v>573</v>
      </c>
      <c r="T132" s="7">
        <v>519.0</v>
      </c>
      <c r="U132" s="5">
        <v>1121040.0</v>
      </c>
      <c r="V132" s="2" t="s">
        <v>1087</v>
      </c>
      <c r="W132" s="2" t="s">
        <v>1088</v>
      </c>
      <c r="X132" s="2">
        <v>5.1201501E7</v>
      </c>
      <c r="Y132" s="2" t="s">
        <v>1084</v>
      </c>
      <c r="Z132" s="2" t="s">
        <v>1089</v>
      </c>
    </row>
    <row r="133">
      <c r="A133" s="2" t="s">
        <v>1090</v>
      </c>
      <c r="B133" s="3">
        <v>45499.0</v>
      </c>
      <c r="C133" s="2" t="s">
        <v>1091</v>
      </c>
      <c r="D133" s="2" t="s">
        <v>1092</v>
      </c>
      <c r="E133" s="4">
        <v>155700.0</v>
      </c>
      <c r="F133" s="5">
        <v>0.0</v>
      </c>
      <c r="G133" s="5">
        <v>0.0</v>
      </c>
      <c r="H133" s="5">
        <v>29583.0</v>
      </c>
      <c r="I133" s="5">
        <v>185283.0</v>
      </c>
      <c r="J133" s="2" t="s">
        <v>29</v>
      </c>
      <c r="K133" s="2" t="s">
        <v>846</v>
      </c>
      <c r="L133" s="2" t="s">
        <v>847</v>
      </c>
      <c r="M133" s="2" t="s">
        <v>848</v>
      </c>
      <c r="N133" s="8" t="s">
        <v>33</v>
      </c>
      <c r="O133" s="2" t="s">
        <v>34</v>
      </c>
      <c r="P133" s="2">
        <v>5.1121515E7</v>
      </c>
      <c r="Q133" s="2" t="s">
        <v>1093</v>
      </c>
      <c r="R133" s="6">
        <v>300.0</v>
      </c>
      <c r="S133" s="2" t="s">
        <v>141</v>
      </c>
      <c r="T133" s="7">
        <v>519.0</v>
      </c>
      <c r="U133" s="5">
        <v>155700.0</v>
      </c>
      <c r="V133" s="2" t="s">
        <v>1094</v>
      </c>
      <c r="W133" s="2" t="s">
        <v>1095</v>
      </c>
      <c r="X133" s="2">
        <v>5.1121515E7</v>
      </c>
      <c r="Y133" s="2" t="s">
        <v>847</v>
      </c>
      <c r="Z133" s="2" t="s">
        <v>1096</v>
      </c>
    </row>
    <row r="134">
      <c r="A134" s="2" t="s">
        <v>1097</v>
      </c>
      <c r="B134" s="3">
        <v>45670.0</v>
      </c>
      <c r="C134" s="2" t="s">
        <v>1098</v>
      </c>
      <c r="D134" s="2" t="s">
        <v>1099</v>
      </c>
      <c r="E134" s="4">
        <v>148500.0</v>
      </c>
      <c r="F134" s="5">
        <v>0.0</v>
      </c>
      <c r="G134" s="5">
        <v>0.0</v>
      </c>
      <c r="H134" s="5">
        <v>28215.0</v>
      </c>
      <c r="I134" s="5">
        <v>176715.0</v>
      </c>
      <c r="J134" s="2" t="s">
        <v>29</v>
      </c>
      <c r="K134" s="2" t="s">
        <v>301</v>
      </c>
      <c r="L134" s="2" t="s">
        <v>302</v>
      </c>
      <c r="M134" s="2" t="s">
        <v>45</v>
      </c>
      <c r="N134" s="2" t="s">
        <v>63</v>
      </c>
      <c r="O134" s="2" t="s">
        <v>34</v>
      </c>
      <c r="P134" s="2">
        <v>5.1121515E7</v>
      </c>
      <c r="Q134" s="2" t="s">
        <v>962</v>
      </c>
      <c r="R134" s="6">
        <v>300.0</v>
      </c>
      <c r="S134" s="2" t="s">
        <v>141</v>
      </c>
      <c r="T134" s="7">
        <v>495.0</v>
      </c>
      <c r="U134" s="5">
        <v>148500.0</v>
      </c>
      <c r="V134" s="2" t="s">
        <v>1100</v>
      </c>
      <c r="W134" s="2" t="s">
        <v>1101</v>
      </c>
      <c r="X134" s="2">
        <v>5.1121515E7</v>
      </c>
      <c r="Y134" s="2" t="s">
        <v>302</v>
      </c>
      <c r="Z134" s="2" t="s">
        <v>1102</v>
      </c>
    </row>
    <row r="135">
      <c r="A135" s="2" t="s">
        <v>1103</v>
      </c>
      <c r="B135" s="3">
        <v>45570.0</v>
      </c>
      <c r="C135" s="2" t="s">
        <v>1104</v>
      </c>
      <c r="D135" s="2" t="s">
        <v>1105</v>
      </c>
      <c r="E135" s="4">
        <v>144000.0</v>
      </c>
      <c r="F135" s="5">
        <v>0.0</v>
      </c>
      <c r="G135" s="5">
        <v>0.0</v>
      </c>
      <c r="H135" s="5">
        <v>27360.0</v>
      </c>
      <c r="I135" s="5">
        <v>171360.0</v>
      </c>
      <c r="J135" s="2" t="s">
        <v>29</v>
      </c>
      <c r="K135" s="2" t="s">
        <v>1057</v>
      </c>
      <c r="L135" s="2" t="s">
        <v>1058</v>
      </c>
      <c r="M135" s="2" t="s">
        <v>1059</v>
      </c>
      <c r="N135" s="2" t="s">
        <v>33</v>
      </c>
      <c r="O135" s="2" t="s">
        <v>34</v>
      </c>
      <c r="P135" s="2">
        <v>5.1181718E7</v>
      </c>
      <c r="Q135" s="2" t="s">
        <v>1106</v>
      </c>
      <c r="R135" s="6">
        <v>300.0</v>
      </c>
      <c r="S135" s="2" t="s">
        <v>141</v>
      </c>
      <c r="T135" s="7">
        <v>480.0</v>
      </c>
      <c r="U135" s="5">
        <v>144000.0</v>
      </c>
      <c r="V135" s="2" t="s">
        <v>1107</v>
      </c>
      <c r="W135" s="2" t="s">
        <v>1108</v>
      </c>
      <c r="X135" s="2">
        <v>5.1181718E7</v>
      </c>
      <c r="Y135" s="2" t="s">
        <v>1058</v>
      </c>
      <c r="Z135" s="2" t="s">
        <v>1109</v>
      </c>
    </row>
    <row r="136">
      <c r="A136" s="2" t="s">
        <v>1110</v>
      </c>
      <c r="B136" s="3">
        <v>45638.0</v>
      </c>
      <c r="C136" s="2" t="s">
        <v>1111</v>
      </c>
      <c r="D136" s="2" t="s">
        <v>1112</v>
      </c>
      <c r="E136" s="4">
        <v>286200.0</v>
      </c>
      <c r="F136" s="5">
        <v>0.0</v>
      </c>
      <c r="G136" s="5">
        <v>0.0</v>
      </c>
      <c r="H136" s="5">
        <v>54378.0</v>
      </c>
      <c r="I136" s="5">
        <v>340578.0</v>
      </c>
      <c r="J136" s="2" t="s">
        <v>29</v>
      </c>
      <c r="K136" s="2" t="s">
        <v>610</v>
      </c>
      <c r="L136" s="2" t="s">
        <v>611</v>
      </c>
      <c r="N136" s="8" t="s">
        <v>253</v>
      </c>
      <c r="O136" s="2" t="s">
        <v>34</v>
      </c>
      <c r="P136" s="2">
        <v>5.1181818E7</v>
      </c>
      <c r="Q136" s="2" t="s">
        <v>1113</v>
      </c>
      <c r="R136" s="6">
        <v>600.0</v>
      </c>
      <c r="S136" s="2" t="s">
        <v>573</v>
      </c>
      <c r="T136" s="7">
        <v>477.0</v>
      </c>
      <c r="U136" s="5">
        <v>286200.0</v>
      </c>
      <c r="V136" s="2" t="s">
        <v>1114</v>
      </c>
      <c r="W136" s="2" t="s">
        <v>1115</v>
      </c>
      <c r="X136" s="2">
        <v>5.1181818E7</v>
      </c>
      <c r="Y136" s="2" t="s">
        <v>611</v>
      </c>
      <c r="Z136" s="2" t="s">
        <v>1116</v>
      </c>
    </row>
    <row r="137">
      <c r="A137" s="2" t="s">
        <v>1117</v>
      </c>
      <c r="B137" s="3">
        <v>45825.0</v>
      </c>
      <c r="C137" s="2" t="s">
        <v>1118</v>
      </c>
      <c r="D137" s="2" t="s">
        <v>1119</v>
      </c>
      <c r="E137" s="4">
        <v>572400.0</v>
      </c>
      <c r="F137" s="5">
        <v>0.0</v>
      </c>
      <c r="G137" s="5">
        <v>0.0</v>
      </c>
      <c r="H137" s="5">
        <v>108756.0</v>
      </c>
      <c r="I137" s="5">
        <v>681156.0</v>
      </c>
      <c r="J137" s="2" t="s">
        <v>29</v>
      </c>
      <c r="K137" s="2" t="s">
        <v>846</v>
      </c>
      <c r="L137" s="2" t="s">
        <v>847</v>
      </c>
      <c r="M137" s="2" t="s">
        <v>848</v>
      </c>
      <c r="N137" s="2" t="s">
        <v>33</v>
      </c>
      <c r="O137" s="2" t="s">
        <v>34</v>
      </c>
      <c r="P137" s="2">
        <v>5.1141703E7</v>
      </c>
      <c r="Q137" s="2" t="s">
        <v>1120</v>
      </c>
      <c r="R137" s="6">
        <v>1200.0</v>
      </c>
      <c r="S137" s="2" t="s">
        <v>141</v>
      </c>
      <c r="T137" s="7">
        <v>477.0</v>
      </c>
      <c r="U137" s="5">
        <v>572400.0</v>
      </c>
      <c r="V137" s="2" t="s">
        <v>1121</v>
      </c>
      <c r="W137" s="2" t="s">
        <v>1122</v>
      </c>
      <c r="X137" s="2">
        <v>5.1141703E7</v>
      </c>
      <c r="Y137" s="2" t="s">
        <v>847</v>
      </c>
      <c r="Z137" s="2" t="s">
        <v>1123</v>
      </c>
    </row>
    <row r="138">
      <c r="A138" s="2" t="s">
        <v>1124</v>
      </c>
      <c r="B138" s="3">
        <v>45825.0</v>
      </c>
      <c r="C138" s="2" t="s">
        <v>1125</v>
      </c>
      <c r="D138" s="2" t="s">
        <v>1126</v>
      </c>
      <c r="E138" s="4">
        <v>142500.0</v>
      </c>
      <c r="F138" s="5">
        <v>0.0</v>
      </c>
      <c r="G138" s="5">
        <v>0.0</v>
      </c>
      <c r="H138" s="5">
        <v>27075.0</v>
      </c>
      <c r="I138" s="5">
        <v>169575.0</v>
      </c>
      <c r="J138" s="2" t="s">
        <v>29</v>
      </c>
      <c r="K138" s="2" t="s">
        <v>301</v>
      </c>
      <c r="L138" s="2" t="s">
        <v>302</v>
      </c>
      <c r="M138" s="2" t="s">
        <v>45</v>
      </c>
      <c r="N138" s="2" t="s">
        <v>63</v>
      </c>
      <c r="O138" s="2" t="s">
        <v>34</v>
      </c>
      <c r="P138" s="2">
        <v>5.1121504E7</v>
      </c>
      <c r="Q138" s="2" t="s">
        <v>962</v>
      </c>
      <c r="R138" s="6">
        <v>300.0</v>
      </c>
      <c r="S138" s="2" t="s">
        <v>141</v>
      </c>
      <c r="T138" s="7">
        <v>475.0</v>
      </c>
      <c r="U138" s="5">
        <v>142500.0</v>
      </c>
      <c r="V138" s="2" t="s">
        <v>1127</v>
      </c>
      <c r="W138" s="2" t="s">
        <v>1128</v>
      </c>
      <c r="X138" s="2">
        <v>5.1121504E7</v>
      </c>
      <c r="Y138" s="2" t="s">
        <v>302</v>
      </c>
      <c r="Z138" s="2" t="s">
        <v>1129</v>
      </c>
    </row>
    <row r="139">
      <c r="A139" s="2" t="s">
        <v>1130</v>
      </c>
      <c r="B139" s="3">
        <v>45627.0</v>
      </c>
      <c r="C139" s="2" t="s">
        <v>1131</v>
      </c>
      <c r="D139" s="2" t="s">
        <v>1132</v>
      </c>
      <c r="E139" s="4">
        <v>1350000.0</v>
      </c>
      <c r="F139" s="5">
        <v>0.0</v>
      </c>
      <c r="G139" s="5">
        <v>0.0</v>
      </c>
      <c r="H139" s="5">
        <v>256500.0</v>
      </c>
      <c r="I139" s="5">
        <v>1606500.0</v>
      </c>
      <c r="J139" s="2" t="s">
        <v>29</v>
      </c>
      <c r="K139" s="2" t="s">
        <v>348</v>
      </c>
      <c r="L139" s="2" t="s">
        <v>349</v>
      </c>
      <c r="M139" s="2" t="s">
        <v>350</v>
      </c>
      <c r="N139" s="2" t="s">
        <v>33</v>
      </c>
      <c r="O139" s="2" t="s">
        <v>34</v>
      </c>
      <c r="P139" s="2">
        <v>5.1161812E7</v>
      </c>
      <c r="Q139" s="2" t="s">
        <v>1133</v>
      </c>
      <c r="R139" s="6">
        <v>3000.0</v>
      </c>
      <c r="S139" s="2" t="s">
        <v>36</v>
      </c>
      <c r="T139" s="7">
        <v>450.0</v>
      </c>
      <c r="U139" s="5">
        <v>1350000.0</v>
      </c>
      <c r="V139" s="2" t="s">
        <v>1134</v>
      </c>
      <c r="W139" s="2" t="s">
        <v>1135</v>
      </c>
      <c r="X139" s="2">
        <v>5.1161812E7</v>
      </c>
      <c r="Y139" s="2" t="s">
        <v>349</v>
      </c>
      <c r="Z139" s="2" t="s">
        <v>1136</v>
      </c>
    </row>
    <row r="140">
      <c r="A140" s="2" t="s">
        <v>1137</v>
      </c>
      <c r="B140" s="3">
        <v>45701.0</v>
      </c>
      <c r="C140" s="2" t="s">
        <v>1138</v>
      </c>
      <c r="D140" s="2" t="s">
        <v>1139</v>
      </c>
      <c r="E140" s="4">
        <v>360000.0</v>
      </c>
      <c r="F140" s="5">
        <v>0.0</v>
      </c>
      <c r="G140" s="5">
        <v>0.0</v>
      </c>
      <c r="H140" s="5">
        <v>68400.0</v>
      </c>
      <c r="I140" s="5">
        <v>428400.0</v>
      </c>
      <c r="J140" s="2" t="s">
        <v>29</v>
      </c>
      <c r="K140" s="2" t="s">
        <v>988</v>
      </c>
      <c r="L140" s="2" t="s">
        <v>989</v>
      </c>
      <c r="M140" s="2" t="s">
        <v>62</v>
      </c>
      <c r="N140" s="2" t="s">
        <v>63</v>
      </c>
      <c r="O140" s="2" t="s">
        <v>34</v>
      </c>
      <c r="P140" s="2">
        <v>5.1121718E7</v>
      </c>
      <c r="Q140" s="2" t="s">
        <v>1140</v>
      </c>
      <c r="R140" s="6">
        <v>800.0</v>
      </c>
      <c r="S140" s="2" t="s">
        <v>141</v>
      </c>
      <c r="T140" s="7">
        <v>450.0</v>
      </c>
      <c r="U140" s="5">
        <v>360000.0</v>
      </c>
      <c r="V140" s="2" t="s">
        <v>1141</v>
      </c>
      <c r="W140" s="2" t="s">
        <v>1142</v>
      </c>
      <c r="X140" s="2">
        <v>5.1121718E7</v>
      </c>
      <c r="Y140" s="2" t="s">
        <v>989</v>
      </c>
      <c r="Z140" s="2" t="s">
        <v>1143</v>
      </c>
    </row>
    <row r="141">
      <c r="A141" s="2" t="s">
        <v>1144</v>
      </c>
      <c r="B141" s="3">
        <v>45425.0</v>
      </c>
      <c r="C141" s="2" t="s">
        <v>1145</v>
      </c>
      <c r="D141" s="2" t="s">
        <v>1146</v>
      </c>
      <c r="E141" s="4">
        <v>129900.0</v>
      </c>
      <c r="F141" s="5">
        <v>0.0</v>
      </c>
      <c r="G141" s="5">
        <v>0.0</v>
      </c>
      <c r="H141" s="5">
        <v>24681.0</v>
      </c>
      <c r="I141" s="5">
        <v>154581.0</v>
      </c>
      <c r="J141" s="2" t="s">
        <v>29</v>
      </c>
      <c r="K141" s="2" t="s">
        <v>310</v>
      </c>
      <c r="L141" s="2" t="s">
        <v>311</v>
      </c>
      <c r="M141" s="2" t="s">
        <v>312</v>
      </c>
      <c r="N141" s="2" t="s">
        <v>33</v>
      </c>
      <c r="O141" s="2" t="s">
        <v>34</v>
      </c>
      <c r="P141" s="2">
        <v>5.1181818E7</v>
      </c>
      <c r="Q141" s="2" t="s">
        <v>1113</v>
      </c>
      <c r="R141" s="6">
        <v>300.0</v>
      </c>
      <c r="S141" s="2" t="s">
        <v>573</v>
      </c>
      <c r="T141" s="7">
        <v>433.0</v>
      </c>
      <c r="U141" s="5">
        <v>129900.0</v>
      </c>
      <c r="V141" s="2" t="s">
        <v>1147</v>
      </c>
      <c r="W141" s="2" t="s">
        <v>1148</v>
      </c>
      <c r="X141" s="2">
        <v>5.1181818E7</v>
      </c>
      <c r="Y141" s="2" t="s">
        <v>311</v>
      </c>
      <c r="Z141" s="2" t="s">
        <v>835</v>
      </c>
    </row>
    <row r="142">
      <c r="A142" s="2" t="s">
        <v>1149</v>
      </c>
      <c r="B142" s="3">
        <v>45785.0</v>
      </c>
      <c r="C142" s="2" t="s">
        <v>1150</v>
      </c>
      <c r="D142" s="2" t="s">
        <v>1151</v>
      </c>
      <c r="E142" s="4">
        <v>586080.0</v>
      </c>
      <c r="F142" s="5">
        <v>0.0</v>
      </c>
      <c r="G142" s="5">
        <v>0.0</v>
      </c>
      <c r="H142" s="5">
        <v>111355.2</v>
      </c>
      <c r="I142" s="5">
        <v>697435.2</v>
      </c>
      <c r="J142" s="2" t="s">
        <v>29</v>
      </c>
      <c r="K142" s="2" t="s">
        <v>190</v>
      </c>
      <c r="L142" s="2" t="s">
        <v>191</v>
      </c>
      <c r="M142" s="2" t="s">
        <v>192</v>
      </c>
      <c r="N142" s="2" t="s">
        <v>63</v>
      </c>
      <c r="O142" s="2" t="s">
        <v>34</v>
      </c>
      <c r="P142" s="2">
        <v>5.1191905E7</v>
      </c>
      <c r="Q142" s="2" t="s">
        <v>1152</v>
      </c>
      <c r="R142" s="6">
        <v>1440.0</v>
      </c>
      <c r="S142" s="2" t="s">
        <v>141</v>
      </c>
      <c r="T142" s="7">
        <v>407.0</v>
      </c>
      <c r="U142" s="5">
        <v>586080.0</v>
      </c>
      <c r="V142" s="2" t="s">
        <v>1153</v>
      </c>
      <c r="W142" s="2" t="s">
        <v>1154</v>
      </c>
      <c r="X142" s="2">
        <v>5.1191905E7</v>
      </c>
      <c r="Y142" s="2" t="s">
        <v>191</v>
      </c>
      <c r="Z142" s="2" t="s">
        <v>1155</v>
      </c>
    </row>
    <row r="143">
      <c r="A143" s="2" t="s">
        <v>1156</v>
      </c>
      <c r="B143" s="3">
        <v>45835.0</v>
      </c>
      <c r="C143" s="2" t="s">
        <v>1157</v>
      </c>
      <c r="D143" s="2" t="s">
        <v>1158</v>
      </c>
      <c r="E143" s="4">
        <v>487200.0</v>
      </c>
      <c r="F143" s="5">
        <v>0.0</v>
      </c>
      <c r="G143" s="5">
        <v>0.0</v>
      </c>
      <c r="H143" s="5">
        <v>92568.0</v>
      </c>
      <c r="I143" s="5">
        <v>579768.0</v>
      </c>
      <c r="J143" s="2" t="s">
        <v>29</v>
      </c>
      <c r="K143" s="2" t="s">
        <v>610</v>
      </c>
      <c r="L143" s="2" t="s">
        <v>611</v>
      </c>
      <c r="N143" s="2" t="s">
        <v>612</v>
      </c>
      <c r="O143" s="2" t="s">
        <v>34</v>
      </c>
      <c r="P143" s="2">
        <v>5.1191905E7</v>
      </c>
      <c r="Q143" s="2" t="s">
        <v>1159</v>
      </c>
      <c r="R143" s="6">
        <v>1200.0</v>
      </c>
      <c r="S143" s="2" t="s">
        <v>573</v>
      </c>
      <c r="T143" s="7">
        <v>406.0</v>
      </c>
      <c r="U143" s="5">
        <v>487200.0</v>
      </c>
      <c r="V143" s="2" t="s">
        <v>1160</v>
      </c>
      <c r="W143" s="2" t="s">
        <v>1161</v>
      </c>
      <c r="X143" s="2">
        <v>5.1191905E7</v>
      </c>
      <c r="Y143" s="2" t="s">
        <v>611</v>
      </c>
      <c r="Z143" s="2" t="s">
        <v>616</v>
      </c>
    </row>
    <row r="144">
      <c r="A144" s="2" t="s">
        <v>1162</v>
      </c>
      <c r="B144" s="3">
        <v>45934.0</v>
      </c>
      <c r="C144" s="2" t="s">
        <v>1163</v>
      </c>
      <c r="D144" s="2" t="s">
        <v>1164</v>
      </c>
      <c r="E144" s="4">
        <v>1350000.0</v>
      </c>
      <c r="F144" s="5">
        <v>0.0</v>
      </c>
      <c r="G144" s="5">
        <v>0.0</v>
      </c>
      <c r="H144" s="5">
        <v>256500.0</v>
      </c>
      <c r="I144" s="5">
        <v>1606500.0</v>
      </c>
      <c r="J144" s="2" t="s">
        <v>29</v>
      </c>
      <c r="K144" s="2" t="s">
        <v>988</v>
      </c>
      <c r="L144" s="2" t="s">
        <v>989</v>
      </c>
      <c r="M144" s="2" t="s">
        <v>62</v>
      </c>
      <c r="N144" s="2" t="s">
        <v>63</v>
      </c>
      <c r="O144" s="2" t="s">
        <v>34</v>
      </c>
      <c r="P144" s="2">
        <v>5.1191802E7</v>
      </c>
      <c r="Q144" s="2" t="s">
        <v>1165</v>
      </c>
      <c r="R144" s="6">
        <v>3600.0</v>
      </c>
      <c r="S144" s="2" t="s">
        <v>141</v>
      </c>
      <c r="T144" s="7">
        <v>375.0</v>
      </c>
      <c r="U144" s="5">
        <v>1350000.0</v>
      </c>
      <c r="V144" s="2" t="s">
        <v>1166</v>
      </c>
      <c r="W144" s="2" t="s">
        <v>1167</v>
      </c>
      <c r="X144" s="2">
        <v>5.1191802E7</v>
      </c>
      <c r="Y144" s="2" t="s">
        <v>989</v>
      </c>
      <c r="Z144" s="2" t="s">
        <v>1168</v>
      </c>
    </row>
    <row r="145">
      <c r="A145" s="2" t="s">
        <v>1169</v>
      </c>
      <c r="B145" s="3">
        <v>45883.0</v>
      </c>
      <c r="C145" s="2" t="s">
        <v>1170</v>
      </c>
      <c r="D145" s="2" t="s">
        <v>1171</v>
      </c>
      <c r="E145" s="4">
        <v>321300.0</v>
      </c>
      <c r="F145" s="5">
        <v>0.0</v>
      </c>
      <c r="G145" s="5">
        <v>0.0</v>
      </c>
      <c r="H145" s="5">
        <v>61047.0</v>
      </c>
      <c r="I145" s="5">
        <v>382347.0</v>
      </c>
      <c r="J145" s="2" t="s">
        <v>29</v>
      </c>
      <c r="K145" s="2" t="s">
        <v>170</v>
      </c>
      <c r="L145" s="2" t="s">
        <v>171</v>
      </c>
      <c r="M145" s="2" t="s">
        <v>172</v>
      </c>
      <c r="N145" s="2" t="s">
        <v>33</v>
      </c>
      <c r="O145" s="2" t="s">
        <v>34</v>
      </c>
      <c r="P145" s="2">
        <v>5.1181813E7</v>
      </c>
      <c r="Q145" s="2" t="s">
        <v>1172</v>
      </c>
      <c r="R145" s="6">
        <v>900.0</v>
      </c>
      <c r="S145" s="2" t="s">
        <v>141</v>
      </c>
      <c r="T145" s="7">
        <v>357.0</v>
      </c>
      <c r="U145" s="5">
        <v>321300.0</v>
      </c>
      <c r="V145" s="2" t="s">
        <v>1173</v>
      </c>
      <c r="W145" s="2" t="s">
        <v>1174</v>
      </c>
      <c r="X145" s="2">
        <v>5.1181813E7</v>
      </c>
      <c r="Y145" s="2" t="s">
        <v>171</v>
      </c>
      <c r="Z145" s="2" t="s">
        <v>1175</v>
      </c>
    </row>
    <row r="146">
      <c r="A146" s="2" t="s">
        <v>1176</v>
      </c>
      <c r="B146" s="3">
        <v>45916.0</v>
      </c>
      <c r="C146" s="2" t="s">
        <v>1177</v>
      </c>
      <c r="D146" s="2" t="s">
        <v>1178</v>
      </c>
      <c r="E146" s="4">
        <v>321300.0</v>
      </c>
      <c r="F146" s="5">
        <v>0.0</v>
      </c>
      <c r="G146" s="5">
        <v>0.0</v>
      </c>
      <c r="H146" s="5">
        <v>61047.0</v>
      </c>
      <c r="I146" s="5">
        <v>382347.0</v>
      </c>
      <c r="J146" s="2" t="s">
        <v>29</v>
      </c>
      <c r="K146" s="2" t="s">
        <v>170</v>
      </c>
      <c r="L146" s="2" t="s">
        <v>171</v>
      </c>
      <c r="M146" s="2" t="s">
        <v>172</v>
      </c>
      <c r="N146" s="2" t="s">
        <v>33</v>
      </c>
      <c r="O146" s="2" t="s">
        <v>34</v>
      </c>
      <c r="P146" s="2">
        <v>5.1181813E7</v>
      </c>
      <c r="Q146" s="2" t="s">
        <v>1172</v>
      </c>
      <c r="R146" s="6">
        <v>900.0</v>
      </c>
      <c r="S146" s="2" t="s">
        <v>141</v>
      </c>
      <c r="T146" s="7">
        <v>357.0</v>
      </c>
      <c r="U146" s="5">
        <v>321300.0</v>
      </c>
      <c r="V146" s="2" t="s">
        <v>1179</v>
      </c>
      <c r="W146" s="2" t="s">
        <v>1180</v>
      </c>
      <c r="X146" s="2">
        <v>5.1181813E7</v>
      </c>
      <c r="Y146" s="2" t="s">
        <v>171</v>
      </c>
      <c r="Z146" s="2" t="s">
        <v>1175</v>
      </c>
    </row>
    <row r="147">
      <c r="A147" s="2" t="s">
        <v>1181</v>
      </c>
      <c r="B147" s="3">
        <v>45508.0</v>
      </c>
      <c r="C147" s="2" t="s">
        <v>1182</v>
      </c>
      <c r="D147" s="2" t="s">
        <v>1183</v>
      </c>
      <c r="E147" s="4">
        <v>177000.0</v>
      </c>
      <c r="F147" s="5">
        <v>0.0</v>
      </c>
      <c r="G147" s="5">
        <v>0.0</v>
      </c>
      <c r="H147" s="5">
        <v>33630.0</v>
      </c>
      <c r="I147" s="5">
        <v>210630.0</v>
      </c>
      <c r="J147" s="2" t="s">
        <v>29</v>
      </c>
      <c r="K147" s="2" t="s">
        <v>1184</v>
      </c>
      <c r="L147" s="2" t="s">
        <v>1185</v>
      </c>
      <c r="M147" s="2" t="s">
        <v>45</v>
      </c>
      <c r="N147" s="2" t="s">
        <v>33</v>
      </c>
      <c r="O147" s="2" t="s">
        <v>34</v>
      </c>
      <c r="P147" s="2">
        <v>5.1172101E7</v>
      </c>
      <c r="Q147" s="2" t="s">
        <v>1186</v>
      </c>
      <c r="R147" s="6">
        <v>500.0</v>
      </c>
      <c r="S147" s="2" t="s">
        <v>80</v>
      </c>
      <c r="T147" s="7">
        <v>354.0</v>
      </c>
      <c r="U147" s="5">
        <v>177000.0</v>
      </c>
      <c r="V147" s="2" t="s">
        <v>1187</v>
      </c>
      <c r="W147" s="2" t="s">
        <v>1188</v>
      </c>
      <c r="X147" s="2">
        <v>5.1172101E7</v>
      </c>
      <c r="Y147" s="2" t="s">
        <v>1185</v>
      </c>
      <c r="Z147" s="2" t="s">
        <v>1189</v>
      </c>
    </row>
    <row r="148">
      <c r="A148" s="2" t="s">
        <v>1190</v>
      </c>
      <c r="B148" s="3">
        <v>45821.0</v>
      </c>
      <c r="C148" s="2" t="s">
        <v>1191</v>
      </c>
      <c r="D148" s="2" t="s">
        <v>1192</v>
      </c>
      <c r="E148" s="4">
        <v>106200.0</v>
      </c>
      <c r="F148" s="5">
        <v>0.0</v>
      </c>
      <c r="G148" s="5">
        <v>0.0</v>
      </c>
      <c r="H148" s="5">
        <v>20178.0</v>
      </c>
      <c r="I148" s="5">
        <v>126378.0</v>
      </c>
      <c r="J148" s="2" t="s">
        <v>29</v>
      </c>
      <c r="K148" s="2" t="s">
        <v>60</v>
      </c>
      <c r="L148" s="2" t="s">
        <v>61</v>
      </c>
      <c r="M148" s="2" t="s">
        <v>62</v>
      </c>
      <c r="N148" s="2" t="s">
        <v>63</v>
      </c>
      <c r="O148" s="2" t="s">
        <v>34</v>
      </c>
      <c r="P148" s="2">
        <v>8.5121902E7</v>
      </c>
      <c r="Q148" s="2" t="s">
        <v>1193</v>
      </c>
      <c r="R148" s="6">
        <v>300.0</v>
      </c>
      <c r="S148" s="2" t="s">
        <v>36</v>
      </c>
      <c r="T148" s="7">
        <v>354.0</v>
      </c>
      <c r="U148" s="5">
        <v>106200.0</v>
      </c>
      <c r="V148" s="2" t="s">
        <v>1194</v>
      </c>
      <c r="W148" s="2" t="s">
        <v>1195</v>
      </c>
      <c r="X148" s="2">
        <v>8.5121902E7</v>
      </c>
      <c r="Y148" s="2" t="s">
        <v>61</v>
      </c>
      <c r="Z148" s="2" t="s">
        <v>67</v>
      </c>
    </row>
    <row r="149">
      <c r="A149" s="2" t="s">
        <v>1196</v>
      </c>
      <c r="B149" s="3">
        <v>45517.0</v>
      </c>
      <c r="C149" s="2" t="s">
        <v>1197</v>
      </c>
      <c r="D149" s="2" t="s">
        <v>1198</v>
      </c>
      <c r="E149" s="4">
        <v>525000.0</v>
      </c>
      <c r="F149" s="5">
        <v>0.0</v>
      </c>
      <c r="G149" s="5">
        <v>0.0</v>
      </c>
      <c r="H149" s="5">
        <v>99750.0</v>
      </c>
      <c r="I149" s="5">
        <v>624750.0</v>
      </c>
      <c r="J149" s="2" t="s">
        <v>29</v>
      </c>
      <c r="K149" s="2" t="s">
        <v>1199</v>
      </c>
      <c r="L149" s="2" t="s">
        <v>1200</v>
      </c>
      <c r="M149" s="2" t="s">
        <v>1201</v>
      </c>
      <c r="N149" s="8" t="s">
        <v>63</v>
      </c>
      <c r="O149" s="2" t="s">
        <v>34</v>
      </c>
      <c r="P149" s="2">
        <v>8.5121902E7</v>
      </c>
      <c r="Q149" s="2" t="s">
        <v>1202</v>
      </c>
      <c r="R149" s="6">
        <v>1500.0</v>
      </c>
      <c r="S149" s="2" t="s">
        <v>573</v>
      </c>
      <c r="T149" s="7">
        <v>350.0</v>
      </c>
      <c r="U149" s="5">
        <v>525000.0</v>
      </c>
      <c r="V149" s="2" t="s">
        <v>1203</v>
      </c>
      <c r="W149" s="2" t="s">
        <v>1204</v>
      </c>
      <c r="X149" s="2">
        <v>8.5121902E7</v>
      </c>
      <c r="Y149" s="2" t="s">
        <v>1200</v>
      </c>
      <c r="Z149" s="2" t="s">
        <v>1205</v>
      </c>
    </row>
    <row r="150">
      <c r="A150" s="2" t="s">
        <v>1206</v>
      </c>
      <c r="B150" s="3">
        <v>45800.0</v>
      </c>
      <c r="C150" s="2" t="s">
        <v>1207</v>
      </c>
      <c r="D150" s="2" t="s">
        <v>1208</v>
      </c>
      <c r="E150" s="4">
        <v>594000.0</v>
      </c>
      <c r="F150" s="5">
        <v>0.0</v>
      </c>
      <c r="G150" s="5">
        <v>0.0</v>
      </c>
      <c r="H150" s="5">
        <v>112860.0</v>
      </c>
      <c r="I150" s="5">
        <v>706860.0</v>
      </c>
      <c r="J150" s="2" t="s">
        <v>29</v>
      </c>
      <c r="K150" s="2" t="s">
        <v>170</v>
      </c>
      <c r="L150" s="2" t="s">
        <v>171</v>
      </c>
      <c r="M150" s="2" t="s">
        <v>172</v>
      </c>
      <c r="N150" s="2" t="s">
        <v>33</v>
      </c>
      <c r="O150" s="2" t="s">
        <v>34</v>
      </c>
      <c r="P150" s="2">
        <v>5.1181813E7</v>
      </c>
      <c r="Q150" s="2" t="s">
        <v>1172</v>
      </c>
      <c r="R150" s="6">
        <v>1800.0</v>
      </c>
      <c r="S150" s="2" t="s">
        <v>141</v>
      </c>
      <c r="T150" s="7">
        <v>330.0</v>
      </c>
      <c r="U150" s="5">
        <v>594000.0</v>
      </c>
      <c r="V150" s="2" t="s">
        <v>1209</v>
      </c>
      <c r="W150" s="2" t="s">
        <v>1210</v>
      </c>
      <c r="X150" s="2">
        <v>5.1181813E7</v>
      </c>
      <c r="Y150" s="2" t="s">
        <v>171</v>
      </c>
      <c r="Z150" s="2" t="s">
        <v>1211</v>
      </c>
    </row>
    <row r="151">
      <c r="A151" s="2" t="s">
        <v>1212</v>
      </c>
      <c r="B151" s="3">
        <v>45906.0</v>
      </c>
      <c r="C151" s="2" t="s">
        <v>1213</v>
      </c>
      <c r="D151" s="2" t="s">
        <v>1214</v>
      </c>
      <c r="E151" s="4">
        <v>191400.0</v>
      </c>
      <c r="F151" s="5">
        <v>0.0</v>
      </c>
      <c r="G151" s="5">
        <v>0.0</v>
      </c>
      <c r="H151" s="5">
        <v>36366.0</v>
      </c>
      <c r="I151" s="5">
        <v>227766.0</v>
      </c>
      <c r="J151" s="2" t="s">
        <v>29</v>
      </c>
      <c r="K151" s="2" t="s">
        <v>1215</v>
      </c>
      <c r="L151" s="2" t="s">
        <v>1216</v>
      </c>
      <c r="M151" s="2" t="s">
        <v>32</v>
      </c>
      <c r="N151" s="2" t="s">
        <v>182</v>
      </c>
      <c r="O151" s="2" t="s">
        <v>34</v>
      </c>
      <c r="P151" s="2">
        <v>5.1171816E7</v>
      </c>
      <c r="Q151" s="2" t="s">
        <v>1217</v>
      </c>
      <c r="R151" s="6">
        <v>600.0</v>
      </c>
      <c r="S151" s="2" t="s">
        <v>47</v>
      </c>
      <c r="T151" s="7">
        <v>319.0</v>
      </c>
      <c r="U151" s="5">
        <v>191400.0</v>
      </c>
      <c r="V151" s="2" t="s">
        <v>1218</v>
      </c>
      <c r="W151" s="2" t="s">
        <v>1219</v>
      </c>
      <c r="X151" s="2">
        <v>5.1171816E7</v>
      </c>
      <c r="Y151" s="2" t="s">
        <v>1216</v>
      </c>
      <c r="Z151" s="2" t="s">
        <v>1220</v>
      </c>
    </row>
    <row r="152">
      <c r="A152" s="2" t="s">
        <v>1221</v>
      </c>
      <c r="B152" s="3">
        <v>45385.0</v>
      </c>
      <c r="C152" s="2" t="s">
        <v>1222</v>
      </c>
      <c r="D152" s="2" t="s">
        <v>1223</v>
      </c>
      <c r="E152" s="4">
        <v>945000.0</v>
      </c>
      <c r="F152" s="5">
        <v>0.0</v>
      </c>
      <c r="G152" s="5">
        <v>0.0</v>
      </c>
      <c r="H152" s="5">
        <v>179550.0</v>
      </c>
      <c r="I152" s="5">
        <v>1124550.0</v>
      </c>
      <c r="J152" s="2" t="s">
        <v>29</v>
      </c>
      <c r="K152" s="2" t="s">
        <v>717</v>
      </c>
      <c r="L152" s="2" t="s">
        <v>718</v>
      </c>
      <c r="M152" s="2" t="s">
        <v>45</v>
      </c>
      <c r="N152" s="2" t="s">
        <v>33</v>
      </c>
      <c r="O152" s="2" t="s">
        <v>407</v>
      </c>
      <c r="P152" s="2">
        <v>5.1142904E7</v>
      </c>
      <c r="Q152" s="2" t="s">
        <v>1224</v>
      </c>
      <c r="R152" s="6">
        <v>3000.0</v>
      </c>
      <c r="S152" s="2" t="s">
        <v>36</v>
      </c>
      <c r="T152" s="7">
        <v>315.0</v>
      </c>
      <c r="U152" s="5">
        <v>945000.0</v>
      </c>
      <c r="V152" s="2" t="s">
        <v>1225</v>
      </c>
      <c r="W152" s="2" t="s">
        <v>1226</v>
      </c>
      <c r="X152" s="2">
        <v>5.1142904E7</v>
      </c>
      <c r="Y152" s="2" t="s">
        <v>718</v>
      </c>
      <c r="Z152" s="2" t="s">
        <v>1227</v>
      </c>
    </row>
    <row r="153">
      <c r="A153" s="2" t="s">
        <v>1228</v>
      </c>
      <c r="B153" s="3">
        <v>45499.0</v>
      </c>
      <c r="C153" s="2" t="s">
        <v>1229</v>
      </c>
      <c r="D153" s="2" t="s">
        <v>1230</v>
      </c>
      <c r="E153" s="4">
        <v>60000.0</v>
      </c>
      <c r="F153" s="5">
        <v>0.0</v>
      </c>
      <c r="G153" s="5">
        <v>0.0</v>
      </c>
      <c r="H153" s="5">
        <v>11400.0</v>
      </c>
      <c r="I153" s="5">
        <v>71400.0</v>
      </c>
      <c r="J153" s="2" t="s">
        <v>29</v>
      </c>
      <c r="K153" s="2" t="s">
        <v>620</v>
      </c>
      <c r="L153" s="2" t="s">
        <v>621</v>
      </c>
      <c r="M153" s="2" t="s">
        <v>622</v>
      </c>
      <c r="N153" s="8" t="s">
        <v>33</v>
      </c>
      <c r="O153" s="2" t="s">
        <v>623</v>
      </c>
      <c r="P153" s="2">
        <v>8.5121902E7</v>
      </c>
      <c r="Q153" s="2" t="s">
        <v>1193</v>
      </c>
      <c r="R153" s="6">
        <v>200.0</v>
      </c>
      <c r="S153" s="2" t="s">
        <v>1231</v>
      </c>
      <c r="T153" s="7">
        <v>300.0</v>
      </c>
      <c r="U153" s="5">
        <v>60000.0</v>
      </c>
      <c r="V153" s="2" t="s">
        <v>1232</v>
      </c>
      <c r="W153" s="2" t="s">
        <v>1233</v>
      </c>
      <c r="X153" s="2">
        <v>8.5121902E7</v>
      </c>
      <c r="Y153" s="2" t="s">
        <v>621</v>
      </c>
      <c r="Z153" s="2" t="s">
        <v>791</v>
      </c>
    </row>
    <row r="154">
      <c r="A154" s="2" t="s">
        <v>1234</v>
      </c>
      <c r="B154" s="3">
        <v>45934.0</v>
      </c>
      <c r="C154" s="2" t="s">
        <v>1235</v>
      </c>
      <c r="D154" s="2" t="s">
        <v>1236</v>
      </c>
      <c r="E154" s="4">
        <v>360000.0</v>
      </c>
      <c r="F154" s="5">
        <v>0.0</v>
      </c>
      <c r="G154" s="5">
        <v>0.0</v>
      </c>
      <c r="H154" s="5">
        <v>68400.0</v>
      </c>
      <c r="I154" s="5">
        <v>428400.0</v>
      </c>
      <c r="J154" s="2" t="s">
        <v>29</v>
      </c>
      <c r="K154" s="2" t="s">
        <v>170</v>
      </c>
      <c r="L154" s="2" t="s">
        <v>171</v>
      </c>
      <c r="M154" s="2" t="s">
        <v>172</v>
      </c>
      <c r="N154" s="2" t="s">
        <v>33</v>
      </c>
      <c r="O154" s="2" t="s">
        <v>34</v>
      </c>
      <c r="P154" s="2">
        <v>5.1181813E7</v>
      </c>
      <c r="Q154" s="2" t="s">
        <v>1172</v>
      </c>
      <c r="R154" s="6">
        <v>1200.0</v>
      </c>
      <c r="S154" s="2" t="s">
        <v>141</v>
      </c>
      <c r="T154" s="7">
        <v>300.0</v>
      </c>
      <c r="U154" s="5">
        <v>360000.0</v>
      </c>
      <c r="V154" s="2" t="s">
        <v>1237</v>
      </c>
      <c r="W154" s="2" t="s">
        <v>1238</v>
      </c>
      <c r="X154" s="2">
        <v>5.1181813E7</v>
      </c>
      <c r="Y154" s="2" t="s">
        <v>171</v>
      </c>
      <c r="Z154" s="2" t="s">
        <v>1239</v>
      </c>
    </row>
    <row r="155">
      <c r="A155" s="2" t="s">
        <v>1240</v>
      </c>
      <c r="B155" s="3">
        <v>45622.0</v>
      </c>
      <c r="C155" s="2" t="s">
        <v>1241</v>
      </c>
      <c r="D155" s="2" t="s">
        <v>1242</v>
      </c>
      <c r="E155" s="4">
        <v>230400.0</v>
      </c>
      <c r="F155" s="5">
        <v>0.0</v>
      </c>
      <c r="G155" s="5">
        <v>0.0</v>
      </c>
      <c r="H155" s="5">
        <v>43776.0</v>
      </c>
      <c r="I155" s="5">
        <v>274176.0</v>
      </c>
      <c r="J155" s="2" t="s">
        <v>29</v>
      </c>
      <c r="K155" s="2" t="s">
        <v>652</v>
      </c>
      <c r="L155" s="2" t="s">
        <v>653</v>
      </c>
      <c r="M155" s="2" t="s">
        <v>654</v>
      </c>
      <c r="N155" s="8" t="s">
        <v>33</v>
      </c>
      <c r="O155" s="2" t="s">
        <v>34</v>
      </c>
      <c r="P155" s="2">
        <v>5.1181605E7</v>
      </c>
      <c r="Q155" s="2" t="s">
        <v>1243</v>
      </c>
      <c r="R155" s="6">
        <v>800.0</v>
      </c>
      <c r="S155" s="2" t="s">
        <v>141</v>
      </c>
      <c r="T155" s="7">
        <v>288.0</v>
      </c>
      <c r="U155" s="5">
        <v>230400.0</v>
      </c>
      <c r="V155" s="2" t="s">
        <v>1244</v>
      </c>
      <c r="W155" s="2" t="s">
        <v>1245</v>
      </c>
      <c r="X155" s="2">
        <v>5.1181605E7</v>
      </c>
      <c r="Y155" s="2" t="s">
        <v>653</v>
      </c>
      <c r="Z155" s="2" t="s">
        <v>1246</v>
      </c>
    </row>
    <row r="156">
      <c r="A156" s="2" t="s">
        <v>1247</v>
      </c>
      <c r="B156" s="3">
        <v>45904.0</v>
      </c>
      <c r="C156" s="2" t="s">
        <v>1248</v>
      </c>
      <c r="D156" s="2" t="s">
        <v>1249</v>
      </c>
      <c r="E156" s="4">
        <v>1944000.0</v>
      </c>
      <c r="F156" s="5">
        <v>0.0</v>
      </c>
      <c r="G156" s="5">
        <v>0.0</v>
      </c>
      <c r="H156" s="5">
        <v>369360.0</v>
      </c>
      <c r="I156" s="5">
        <v>2313360.0</v>
      </c>
      <c r="J156" s="2" t="s">
        <v>368</v>
      </c>
      <c r="K156" s="2" t="s">
        <v>1250</v>
      </c>
      <c r="L156" s="2" t="s">
        <v>1251</v>
      </c>
      <c r="M156" s="2" t="s">
        <v>1252</v>
      </c>
      <c r="N156" s="2" t="s">
        <v>63</v>
      </c>
      <c r="O156" s="2" t="s">
        <v>34</v>
      </c>
      <c r="P156" s="2">
        <v>2.6111706E7</v>
      </c>
      <c r="Q156" s="2" t="s">
        <v>1253</v>
      </c>
      <c r="R156" s="6">
        <v>7200.0</v>
      </c>
      <c r="S156" s="2" t="s">
        <v>36</v>
      </c>
      <c r="T156" s="7">
        <v>270.0</v>
      </c>
      <c r="U156" s="5">
        <v>1944000.0</v>
      </c>
      <c r="V156" s="2" t="s">
        <v>1254</v>
      </c>
      <c r="W156" s="2" t="s">
        <v>1255</v>
      </c>
      <c r="X156" s="2">
        <v>2.6111706E7</v>
      </c>
      <c r="Y156" s="2" t="s">
        <v>1251</v>
      </c>
      <c r="Z156" s="2" t="s">
        <v>1256</v>
      </c>
    </row>
    <row r="157">
      <c r="A157" s="2" t="s">
        <v>1257</v>
      </c>
      <c r="B157" s="3">
        <v>45863.0</v>
      </c>
      <c r="C157" s="2" t="s">
        <v>1258</v>
      </c>
      <c r="D157" s="2" t="s">
        <v>1259</v>
      </c>
      <c r="E157" s="4">
        <v>318000.0</v>
      </c>
      <c r="F157" s="5">
        <v>0.0</v>
      </c>
      <c r="G157" s="5">
        <v>0.0</v>
      </c>
      <c r="H157" s="5">
        <v>60420.0</v>
      </c>
      <c r="I157" s="5">
        <v>378420.0</v>
      </c>
      <c r="J157" s="2" t="s">
        <v>29</v>
      </c>
      <c r="K157" s="2" t="s">
        <v>60</v>
      </c>
      <c r="L157" s="2" t="s">
        <v>61</v>
      </c>
      <c r="M157" s="2" t="s">
        <v>62</v>
      </c>
      <c r="N157" s="2" t="s">
        <v>63</v>
      </c>
      <c r="O157" s="2" t="s">
        <v>34</v>
      </c>
      <c r="P157" s="2">
        <v>1.2162205E7</v>
      </c>
      <c r="Q157" s="2" t="s">
        <v>1260</v>
      </c>
      <c r="R157" s="6">
        <v>1500.0</v>
      </c>
      <c r="S157" s="2" t="s">
        <v>573</v>
      </c>
      <c r="T157" s="7">
        <v>212.0</v>
      </c>
      <c r="U157" s="5">
        <v>318000.0</v>
      </c>
      <c r="V157" s="2" t="s">
        <v>1261</v>
      </c>
      <c r="W157" s="2" t="s">
        <v>1262</v>
      </c>
      <c r="X157" s="2">
        <v>1.2162205E7</v>
      </c>
      <c r="Y157" s="2" t="s">
        <v>61</v>
      </c>
      <c r="Z157" s="2" t="s">
        <v>67</v>
      </c>
    </row>
    <row r="158">
      <c r="A158" s="2" t="s">
        <v>1263</v>
      </c>
      <c r="B158" s="3">
        <v>45811.0</v>
      </c>
      <c r="C158" s="2" t="s">
        <v>1264</v>
      </c>
      <c r="D158" s="2" t="s">
        <v>1265</v>
      </c>
      <c r="E158" s="4">
        <v>189000.0</v>
      </c>
      <c r="F158" s="5">
        <v>0.0</v>
      </c>
      <c r="G158" s="5">
        <v>0.0</v>
      </c>
      <c r="H158" s="5">
        <v>35910.0</v>
      </c>
      <c r="I158" s="5">
        <v>224910.0</v>
      </c>
      <c r="J158" s="2" t="s">
        <v>29</v>
      </c>
      <c r="K158" s="2" t="s">
        <v>1266</v>
      </c>
      <c r="L158" s="2" t="s">
        <v>1267</v>
      </c>
      <c r="M158" s="2" t="s">
        <v>1268</v>
      </c>
      <c r="N158" s="2" t="s">
        <v>63</v>
      </c>
      <c r="O158" s="2" t="s">
        <v>34</v>
      </c>
      <c r="P158" s="2">
        <v>5.1141808E7</v>
      </c>
      <c r="Q158" s="2" t="s">
        <v>1269</v>
      </c>
      <c r="R158" s="6">
        <v>900.0</v>
      </c>
      <c r="S158" s="2" t="s">
        <v>141</v>
      </c>
      <c r="T158" s="7">
        <v>210.0</v>
      </c>
      <c r="U158" s="5">
        <v>189000.0</v>
      </c>
      <c r="V158" s="2" t="s">
        <v>1270</v>
      </c>
      <c r="W158" s="2" t="s">
        <v>1271</v>
      </c>
      <c r="X158" s="2">
        <v>5.1141808E7</v>
      </c>
      <c r="Y158" s="2" t="s">
        <v>1267</v>
      </c>
      <c r="Z158" s="2" t="s">
        <v>1272</v>
      </c>
    </row>
    <row r="159">
      <c r="A159" s="2" t="s">
        <v>1273</v>
      </c>
      <c r="B159" s="3">
        <v>45826.0</v>
      </c>
      <c r="C159" s="2" t="s">
        <v>1274</v>
      </c>
      <c r="D159" s="2" t="s">
        <v>1275</v>
      </c>
      <c r="E159" s="4">
        <v>420000.0</v>
      </c>
      <c r="F159" s="5">
        <v>0.0</v>
      </c>
      <c r="G159" s="5">
        <v>0.0</v>
      </c>
      <c r="H159" s="5">
        <v>79800.0</v>
      </c>
      <c r="I159" s="5">
        <v>499800.0</v>
      </c>
      <c r="J159" s="2" t="s">
        <v>29</v>
      </c>
      <c r="K159" s="2" t="s">
        <v>170</v>
      </c>
      <c r="L159" s="2" t="s">
        <v>171</v>
      </c>
      <c r="M159" s="2" t="s">
        <v>172</v>
      </c>
      <c r="N159" s="2" t="s">
        <v>33</v>
      </c>
      <c r="O159" s="2" t="s">
        <v>34</v>
      </c>
      <c r="P159" s="2">
        <v>5.1181813E7</v>
      </c>
      <c r="Q159" s="2" t="s">
        <v>1172</v>
      </c>
      <c r="R159" s="6">
        <v>2100.0</v>
      </c>
      <c r="S159" s="2" t="s">
        <v>141</v>
      </c>
      <c r="T159" s="7">
        <v>200.0</v>
      </c>
      <c r="U159" s="5">
        <v>420000.0</v>
      </c>
      <c r="V159" s="2" t="s">
        <v>1276</v>
      </c>
      <c r="W159" s="2" t="s">
        <v>1180</v>
      </c>
      <c r="X159" s="2">
        <v>5.1181813E7</v>
      </c>
      <c r="Y159" s="2" t="s">
        <v>171</v>
      </c>
      <c r="Z159" s="2" t="s">
        <v>1277</v>
      </c>
    </row>
    <row r="160">
      <c r="A160" s="2" t="s">
        <v>1278</v>
      </c>
      <c r="B160" s="3">
        <v>45321.0</v>
      </c>
      <c r="C160" s="2" t="s">
        <v>1279</v>
      </c>
      <c r="D160" s="2" t="s">
        <v>1280</v>
      </c>
      <c r="E160" s="4">
        <v>1623840.0</v>
      </c>
      <c r="F160" s="5">
        <v>0.0</v>
      </c>
      <c r="G160" s="5">
        <v>0.0</v>
      </c>
      <c r="H160" s="5">
        <v>308529.6</v>
      </c>
      <c r="I160" s="5">
        <v>1932369.6</v>
      </c>
      <c r="J160" s="2" t="s">
        <v>368</v>
      </c>
      <c r="K160" s="2" t="s">
        <v>1281</v>
      </c>
      <c r="L160" s="2" t="s">
        <v>1282</v>
      </c>
      <c r="M160" s="2" t="s">
        <v>1283</v>
      </c>
      <c r="N160" s="2" t="s">
        <v>33</v>
      </c>
      <c r="O160" s="2" t="s">
        <v>34</v>
      </c>
      <c r="P160" s="2">
        <v>2.6111706E7</v>
      </c>
      <c r="Q160" s="2" t="s">
        <v>1284</v>
      </c>
      <c r="R160" s="6">
        <v>6480.0</v>
      </c>
      <c r="S160" s="2" t="s">
        <v>36</v>
      </c>
      <c r="T160" s="7">
        <v>199.0</v>
      </c>
      <c r="U160" s="5">
        <v>1289520.0</v>
      </c>
      <c r="V160" s="2" t="s">
        <v>1285</v>
      </c>
      <c r="W160" s="2" t="s">
        <v>1286</v>
      </c>
      <c r="X160" s="2">
        <v>2.6111706E7</v>
      </c>
      <c r="Y160" s="2" t="s">
        <v>1282</v>
      </c>
      <c r="Z160" s="2" t="s">
        <v>1287</v>
      </c>
    </row>
    <row r="161" ht="18.0" customHeight="1">
      <c r="A161" s="2" t="s">
        <v>1278</v>
      </c>
      <c r="B161" s="3">
        <v>45321.0</v>
      </c>
      <c r="C161" s="2" t="s">
        <v>1279</v>
      </c>
      <c r="D161" s="2" t="s">
        <v>1280</v>
      </c>
      <c r="E161" s="4">
        <v>1623840.0</v>
      </c>
      <c r="F161" s="5">
        <v>0.0</v>
      </c>
      <c r="G161" s="5">
        <v>0.0</v>
      </c>
      <c r="H161" s="5">
        <v>308529.6</v>
      </c>
      <c r="I161" s="5">
        <v>1932369.6</v>
      </c>
      <c r="J161" s="2" t="s">
        <v>368</v>
      </c>
      <c r="K161" s="2" t="s">
        <v>1281</v>
      </c>
      <c r="L161" s="2" t="s">
        <v>1282</v>
      </c>
      <c r="M161" s="2" t="s">
        <v>1283</v>
      </c>
      <c r="N161" s="2" t="s">
        <v>33</v>
      </c>
      <c r="O161" s="2" t="s">
        <v>34</v>
      </c>
      <c r="P161" s="2">
        <v>2.6111706E7</v>
      </c>
      <c r="Q161" s="2" t="s">
        <v>1288</v>
      </c>
      <c r="R161" s="6">
        <v>1080.0</v>
      </c>
      <c r="S161" s="2" t="s">
        <v>36</v>
      </c>
      <c r="T161" s="7">
        <v>199.0</v>
      </c>
      <c r="U161" s="5">
        <v>214920.0</v>
      </c>
      <c r="V161" s="2" t="s">
        <v>1285</v>
      </c>
      <c r="W161" s="2" t="s">
        <v>1286</v>
      </c>
      <c r="X161" s="2">
        <v>2.6111706E7</v>
      </c>
      <c r="Y161" s="2" t="s">
        <v>1282</v>
      </c>
      <c r="Z161" s="2" t="s">
        <v>1287</v>
      </c>
    </row>
    <row r="162">
      <c r="A162" s="2" t="s">
        <v>1278</v>
      </c>
      <c r="B162" s="3">
        <v>45321.0</v>
      </c>
      <c r="C162" s="2" t="s">
        <v>1279</v>
      </c>
      <c r="D162" s="2" t="s">
        <v>1280</v>
      </c>
      <c r="E162" s="4">
        <v>1623840.0</v>
      </c>
      <c r="F162" s="5">
        <v>0.0</v>
      </c>
      <c r="G162" s="5">
        <v>0.0</v>
      </c>
      <c r="H162" s="5">
        <v>308529.6</v>
      </c>
      <c r="I162" s="5">
        <v>1932369.6</v>
      </c>
      <c r="J162" s="2" t="s">
        <v>368</v>
      </c>
      <c r="K162" s="2" t="s">
        <v>1281</v>
      </c>
      <c r="L162" s="2" t="s">
        <v>1282</v>
      </c>
      <c r="M162" s="2" t="s">
        <v>1283</v>
      </c>
      <c r="N162" s="2" t="s">
        <v>33</v>
      </c>
      <c r="O162" s="2" t="s">
        <v>34</v>
      </c>
      <c r="P162" s="2">
        <v>2.6111706E7</v>
      </c>
      <c r="Q162" s="2" t="s">
        <v>1289</v>
      </c>
      <c r="R162" s="6">
        <v>600.0</v>
      </c>
      <c r="S162" s="2" t="s">
        <v>36</v>
      </c>
      <c r="T162" s="7">
        <v>199.0</v>
      </c>
      <c r="U162" s="5">
        <v>119400.0</v>
      </c>
      <c r="V162" s="2" t="s">
        <v>1285</v>
      </c>
      <c r="W162" s="2" t="s">
        <v>1286</v>
      </c>
      <c r="X162" s="2">
        <v>2.6111706E7</v>
      </c>
      <c r="Y162" s="2" t="s">
        <v>1282</v>
      </c>
      <c r="Z162" s="2" t="s">
        <v>1287</v>
      </c>
    </row>
    <row r="163">
      <c r="A163" s="2" t="s">
        <v>1290</v>
      </c>
      <c r="B163" s="3">
        <v>45842.0</v>
      </c>
      <c r="C163" s="2" t="s">
        <v>1291</v>
      </c>
      <c r="D163" s="2" t="s">
        <v>1292</v>
      </c>
      <c r="E163" s="4">
        <v>115200.0</v>
      </c>
      <c r="F163" s="5">
        <v>0.0</v>
      </c>
      <c r="G163" s="5">
        <v>0.0</v>
      </c>
      <c r="H163" s="5">
        <v>21888.0</v>
      </c>
      <c r="I163" s="5">
        <v>137088.0</v>
      </c>
      <c r="J163" s="2" t="s">
        <v>29</v>
      </c>
      <c r="K163" s="2" t="s">
        <v>60</v>
      </c>
      <c r="L163" s="2" t="s">
        <v>61</v>
      </c>
      <c r="M163" s="2" t="s">
        <v>62</v>
      </c>
      <c r="N163" s="2" t="s">
        <v>63</v>
      </c>
      <c r="O163" s="2" t="s">
        <v>34</v>
      </c>
      <c r="P163" s="2">
        <v>1.2162205E7</v>
      </c>
      <c r="Q163" s="2" t="s">
        <v>1260</v>
      </c>
      <c r="R163" s="6">
        <v>600.0</v>
      </c>
      <c r="S163" s="2" t="s">
        <v>573</v>
      </c>
      <c r="T163" s="7">
        <v>192.0</v>
      </c>
      <c r="U163" s="5">
        <v>115200.0</v>
      </c>
      <c r="V163" s="2" t="s">
        <v>1293</v>
      </c>
      <c r="W163" s="2" t="s">
        <v>1294</v>
      </c>
      <c r="X163" s="2">
        <v>1.2162205E7</v>
      </c>
      <c r="Y163" s="2" t="s">
        <v>61</v>
      </c>
      <c r="Z163" s="2" t="s">
        <v>67</v>
      </c>
    </row>
    <row r="164">
      <c r="A164" s="2" t="s">
        <v>1295</v>
      </c>
      <c r="B164" s="3">
        <v>45342.0</v>
      </c>
      <c r="C164" s="2" t="s">
        <v>1296</v>
      </c>
      <c r="D164" s="2" t="s">
        <v>1297</v>
      </c>
      <c r="E164" s="4">
        <v>55500.0</v>
      </c>
      <c r="F164" s="5">
        <v>0.0</v>
      </c>
      <c r="G164" s="5">
        <v>0.0</v>
      </c>
      <c r="H164" s="5">
        <v>10545.0</v>
      </c>
      <c r="I164" s="5">
        <v>66045.0</v>
      </c>
      <c r="J164" s="2" t="s">
        <v>29</v>
      </c>
      <c r="K164" s="2" t="s">
        <v>717</v>
      </c>
      <c r="L164" s="2" t="s">
        <v>718</v>
      </c>
      <c r="M164" s="2" t="s">
        <v>45</v>
      </c>
      <c r="N164" s="2" t="s">
        <v>33</v>
      </c>
      <c r="O164" s="2" t="s">
        <v>407</v>
      </c>
      <c r="P164" s="2">
        <v>5.1182203E7</v>
      </c>
      <c r="Q164" s="2" t="s">
        <v>1298</v>
      </c>
      <c r="R164" s="6">
        <v>300.0</v>
      </c>
      <c r="S164" s="2" t="s">
        <v>80</v>
      </c>
      <c r="T164" s="7">
        <v>185.0</v>
      </c>
      <c r="U164" s="5">
        <v>55500.0</v>
      </c>
      <c r="V164" s="2" t="s">
        <v>1299</v>
      </c>
      <c r="W164" s="2" t="s">
        <v>1300</v>
      </c>
      <c r="X164" s="2">
        <v>5.1182203E7</v>
      </c>
      <c r="Y164" s="2" t="s">
        <v>718</v>
      </c>
      <c r="Z164" s="2" t="s">
        <v>1301</v>
      </c>
    </row>
    <row r="165">
      <c r="A165" s="2" t="s">
        <v>1302</v>
      </c>
      <c r="B165" s="3">
        <v>45365.0</v>
      </c>
      <c r="C165" s="8" t="s">
        <v>1303</v>
      </c>
      <c r="D165" s="2" t="s">
        <v>1304</v>
      </c>
      <c r="E165" s="4">
        <v>25760.0</v>
      </c>
      <c r="F165" s="5">
        <v>0.0</v>
      </c>
      <c r="G165" s="5">
        <v>0.0</v>
      </c>
      <c r="H165" s="5">
        <v>4894.4</v>
      </c>
      <c r="I165" s="5">
        <v>30654.4</v>
      </c>
      <c r="J165" s="2" t="s">
        <v>29</v>
      </c>
      <c r="K165" s="2" t="s">
        <v>310</v>
      </c>
      <c r="L165" s="2" t="s">
        <v>311</v>
      </c>
      <c r="M165" s="2" t="s">
        <v>312</v>
      </c>
      <c r="N165" s="2" t="s">
        <v>33</v>
      </c>
      <c r="O165" s="2" t="s">
        <v>34</v>
      </c>
      <c r="P165" s="2">
        <v>5.1101538E7</v>
      </c>
      <c r="Q165" s="2" t="s">
        <v>1305</v>
      </c>
      <c r="R165" s="6">
        <v>140.0</v>
      </c>
      <c r="S165" s="2" t="s">
        <v>141</v>
      </c>
      <c r="T165" s="7">
        <v>184.0</v>
      </c>
      <c r="U165" s="5">
        <v>25760.0</v>
      </c>
      <c r="V165" s="2" t="s">
        <v>1306</v>
      </c>
      <c r="W165" s="2" t="s">
        <v>1307</v>
      </c>
      <c r="X165" s="2">
        <v>5.1101538E7</v>
      </c>
      <c r="Y165" s="2" t="s">
        <v>311</v>
      </c>
      <c r="Z165" s="2" t="s">
        <v>835</v>
      </c>
    </row>
    <row r="166">
      <c r="A166" s="2" t="s">
        <v>1308</v>
      </c>
      <c r="B166" s="3">
        <v>45862.0</v>
      </c>
      <c r="C166" s="2" t="s">
        <v>1309</v>
      </c>
      <c r="D166" s="2" t="s">
        <v>1310</v>
      </c>
      <c r="E166" s="4">
        <v>1803060.0</v>
      </c>
      <c r="F166" s="5">
        <v>0.0</v>
      </c>
      <c r="G166" s="5">
        <v>0.0</v>
      </c>
      <c r="H166" s="5">
        <v>342581.4</v>
      </c>
      <c r="I166" s="5">
        <v>2145641.4</v>
      </c>
      <c r="J166" s="2" t="s">
        <v>29</v>
      </c>
      <c r="K166" s="2" t="s">
        <v>1311</v>
      </c>
      <c r="L166" s="2" t="s">
        <v>1312</v>
      </c>
      <c r="M166" s="2" t="s">
        <v>1313</v>
      </c>
      <c r="N166" s="2" t="s">
        <v>108</v>
      </c>
      <c r="O166" s="2" t="s">
        <v>34</v>
      </c>
      <c r="P166" s="2">
        <v>5.1141518E7</v>
      </c>
      <c r="Q166" s="2" t="s">
        <v>1314</v>
      </c>
      <c r="R166" s="6">
        <v>11340.0</v>
      </c>
      <c r="S166" s="2" t="s">
        <v>141</v>
      </c>
      <c r="T166" s="7">
        <v>159.0</v>
      </c>
      <c r="U166" s="5">
        <v>1803060.0</v>
      </c>
      <c r="V166" s="2" t="s">
        <v>1315</v>
      </c>
      <c r="W166" s="2" t="s">
        <v>1316</v>
      </c>
      <c r="X166" s="2">
        <v>5.1141518E7</v>
      </c>
      <c r="Y166" s="2" t="s">
        <v>1312</v>
      </c>
      <c r="Z166" s="2" t="s">
        <v>1317</v>
      </c>
    </row>
    <row r="167">
      <c r="A167" s="2" t="s">
        <v>1318</v>
      </c>
      <c r="B167" s="3">
        <v>45499.0</v>
      </c>
      <c r="C167" s="2" t="s">
        <v>1319</v>
      </c>
      <c r="D167" s="2" t="s">
        <v>1320</v>
      </c>
      <c r="E167" s="4">
        <v>450000.0</v>
      </c>
      <c r="F167" s="5">
        <v>0.0</v>
      </c>
      <c r="G167" s="5">
        <v>0.0</v>
      </c>
      <c r="H167" s="5">
        <v>85500.0</v>
      </c>
      <c r="I167" s="5">
        <v>535500.0</v>
      </c>
      <c r="J167" s="2" t="s">
        <v>29</v>
      </c>
      <c r="K167" s="2" t="s">
        <v>1321</v>
      </c>
      <c r="L167" s="2" t="s">
        <v>1322</v>
      </c>
      <c r="M167" s="2" t="s">
        <v>32</v>
      </c>
      <c r="N167" s="8" t="s">
        <v>33</v>
      </c>
      <c r="O167" s="2" t="s">
        <v>34</v>
      </c>
      <c r="P167" s="2">
        <v>5.1191905E7</v>
      </c>
      <c r="Q167" s="2" t="s">
        <v>1152</v>
      </c>
      <c r="R167" s="6">
        <v>3000.0</v>
      </c>
      <c r="S167" s="2" t="s">
        <v>141</v>
      </c>
      <c r="T167" s="7">
        <v>150.0</v>
      </c>
      <c r="U167" s="5">
        <v>450000.0</v>
      </c>
      <c r="V167" s="2" t="s">
        <v>1323</v>
      </c>
      <c r="W167" s="2" t="s">
        <v>1324</v>
      </c>
      <c r="X167" s="2">
        <v>5.1191905E7</v>
      </c>
      <c r="Y167" s="2" t="s">
        <v>1322</v>
      </c>
      <c r="Z167" s="2" t="s">
        <v>1325</v>
      </c>
    </row>
    <row r="168">
      <c r="A168" s="2" t="s">
        <v>1326</v>
      </c>
      <c r="B168" s="3">
        <v>45769.0</v>
      </c>
      <c r="C168" s="2" t="s">
        <v>1327</v>
      </c>
      <c r="D168" s="2" t="s">
        <v>1328</v>
      </c>
      <c r="E168" s="4">
        <v>270000.0</v>
      </c>
      <c r="F168" s="5">
        <v>0.0</v>
      </c>
      <c r="G168" s="5">
        <v>0.0</v>
      </c>
      <c r="H168" s="5">
        <v>51300.0</v>
      </c>
      <c r="I168" s="5">
        <v>321300.0</v>
      </c>
      <c r="J168" s="2" t="s">
        <v>368</v>
      </c>
      <c r="K168" s="2" t="s">
        <v>1329</v>
      </c>
      <c r="L168" s="2" t="s">
        <v>1330</v>
      </c>
      <c r="M168" s="2" t="s">
        <v>595</v>
      </c>
      <c r="N168" s="2" t="s">
        <v>63</v>
      </c>
      <c r="O168" s="2" t="s">
        <v>34</v>
      </c>
      <c r="P168" s="2">
        <v>4.1116201E7</v>
      </c>
      <c r="Q168" s="2" t="s">
        <v>1331</v>
      </c>
      <c r="R168" s="6">
        <v>1800.0</v>
      </c>
      <c r="S168" s="2" t="s">
        <v>36</v>
      </c>
      <c r="T168" s="7">
        <v>150.0</v>
      </c>
      <c r="U168" s="5">
        <v>270000.0</v>
      </c>
      <c r="V168" s="2" t="s">
        <v>1332</v>
      </c>
      <c r="W168" s="2" t="s">
        <v>1333</v>
      </c>
      <c r="X168" s="2">
        <v>4.1116201E7</v>
      </c>
      <c r="Y168" s="2" t="s">
        <v>1330</v>
      </c>
      <c r="Z168" s="2" t="s">
        <v>1334</v>
      </c>
    </row>
    <row r="169">
      <c r="A169" s="2" t="s">
        <v>1335</v>
      </c>
      <c r="B169" s="3">
        <v>45859.0</v>
      </c>
      <c r="C169" s="2" t="s">
        <v>1336</v>
      </c>
      <c r="D169" s="2" t="s">
        <v>1337</v>
      </c>
      <c r="E169" s="4">
        <v>975000.0</v>
      </c>
      <c r="F169" s="5">
        <v>0.0</v>
      </c>
      <c r="G169" s="5">
        <v>0.0</v>
      </c>
      <c r="H169" s="5">
        <v>185250.0</v>
      </c>
      <c r="I169" s="5">
        <v>1160250.0</v>
      </c>
      <c r="J169" s="2" t="s">
        <v>29</v>
      </c>
      <c r="K169" s="2" t="s">
        <v>1338</v>
      </c>
      <c r="L169" s="2" t="s">
        <v>1339</v>
      </c>
      <c r="M169" s="2" t="s">
        <v>45</v>
      </c>
      <c r="N169" s="2" t="s">
        <v>33</v>
      </c>
      <c r="O169" s="2" t="s">
        <v>34</v>
      </c>
      <c r="P169" s="2">
        <v>5.1121713E7</v>
      </c>
      <c r="Q169" s="2" t="s">
        <v>1340</v>
      </c>
      <c r="R169" s="6">
        <v>7500.0</v>
      </c>
      <c r="S169" s="2" t="s">
        <v>141</v>
      </c>
      <c r="T169" s="7">
        <v>130.0</v>
      </c>
      <c r="U169" s="5">
        <v>975000.0</v>
      </c>
      <c r="V169" s="2" t="s">
        <v>1341</v>
      </c>
      <c r="W169" s="2" t="s">
        <v>1342</v>
      </c>
      <c r="X169" s="2">
        <v>5.1121713E7</v>
      </c>
      <c r="Y169" s="2" t="s">
        <v>1339</v>
      </c>
      <c r="Z169" s="2" t="s">
        <v>1343</v>
      </c>
    </row>
    <row r="170">
      <c r="A170" s="2" t="s">
        <v>1344</v>
      </c>
      <c r="B170" s="3">
        <v>45749.0</v>
      </c>
      <c r="C170" s="2" t="s">
        <v>1345</v>
      </c>
      <c r="D170" s="2" t="s">
        <v>1346</v>
      </c>
      <c r="E170" s="4">
        <v>130560.0</v>
      </c>
      <c r="F170" s="5">
        <v>0.0</v>
      </c>
      <c r="G170" s="5">
        <v>0.0</v>
      </c>
      <c r="H170" s="5">
        <v>24806.4</v>
      </c>
      <c r="I170" s="5">
        <v>155366.4</v>
      </c>
      <c r="J170" s="2" t="s">
        <v>29</v>
      </c>
      <c r="K170" s="2" t="s">
        <v>1266</v>
      </c>
      <c r="L170" s="2" t="s">
        <v>1267</v>
      </c>
      <c r="M170" s="2" t="s">
        <v>1268</v>
      </c>
      <c r="N170" s="2" t="s">
        <v>63</v>
      </c>
      <c r="O170" s="2" t="s">
        <v>34</v>
      </c>
      <c r="P170" s="2">
        <v>1.1101511E7</v>
      </c>
      <c r="Q170" s="2" t="s">
        <v>1260</v>
      </c>
      <c r="R170" s="6">
        <v>1020.0</v>
      </c>
      <c r="S170" s="2" t="s">
        <v>141</v>
      </c>
      <c r="T170" s="7">
        <v>128.0</v>
      </c>
      <c r="U170" s="5">
        <v>130560.0</v>
      </c>
      <c r="V170" s="2" t="s">
        <v>1347</v>
      </c>
      <c r="W170" s="2" t="s">
        <v>1348</v>
      </c>
      <c r="X170" s="2">
        <v>1.1101511E7</v>
      </c>
      <c r="Y170" s="2" t="s">
        <v>1267</v>
      </c>
      <c r="Z170" s="2" t="s">
        <v>1349</v>
      </c>
    </row>
    <row r="171">
      <c r="A171" s="2" t="s">
        <v>1350</v>
      </c>
      <c r="B171" s="3">
        <v>45670.0</v>
      </c>
      <c r="C171" s="2" t="s">
        <v>1351</v>
      </c>
      <c r="D171" s="2" t="s">
        <v>1352</v>
      </c>
      <c r="E171" s="4">
        <v>174000.0</v>
      </c>
      <c r="F171" s="5">
        <v>0.0</v>
      </c>
      <c r="G171" s="5">
        <v>0.0</v>
      </c>
      <c r="H171" s="5">
        <v>33060.0</v>
      </c>
      <c r="I171" s="5">
        <v>207060.0</v>
      </c>
      <c r="J171" s="2" t="s">
        <v>29</v>
      </c>
      <c r="K171" s="2" t="s">
        <v>127</v>
      </c>
      <c r="L171" s="2" t="s">
        <v>128</v>
      </c>
      <c r="M171" s="2" t="s">
        <v>129</v>
      </c>
      <c r="N171" s="2" t="s">
        <v>108</v>
      </c>
      <c r="O171" s="2" t="s">
        <v>34</v>
      </c>
      <c r="P171" s="2">
        <v>5.1191905E7</v>
      </c>
      <c r="Q171" s="2" t="s">
        <v>1152</v>
      </c>
      <c r="R171" s="6">
        <v>1500.0</v>
      </c>
      <c r="S171" s="2" t="s">
        <v>141</v>
      </c>
      <c r="T171" s="7">
        <v>116.0</v>
      </c>
      <c r="U171" s="5">
        <v>174000.0</v>
      </c>
      <c r="V171" s="2" t="s">
        <v>1353</v>
      </c>
      <c r="W171" s="2" t="s">
        <v>1324</v>
      </c>
      <c r="X171" s="2">
        <v>5.1191905E7</v>
      </c>
      <c r="Y171" s="2" t="s">
        <v>128</v>
      </c>
      <c r="Z171" s="2" t="s">
        <v>1354</v>
      </c>
    </row>
    <row r="172">
      <c r="A172" s="2" t="s">
        <v>1355</v>
      </c>
      <c r="B172" s="3">
        <v>45397.0</v>
      </c>
      <c r="C172" s="2" t="s">
        <v>1356</v>
      </c>
      <c r="D172" s="2" t="s">
        <v>1357</v>
      </c>
      <c r="E172" s="4">
        <v>110000.0</v>
      </c>
      <c r="F172" s="5">
        <v>0.0</v>
      </c>
      <c r="G172" s="5">
        <v>0.0</v>
      </c>
      <c r="H172" s="5">
        <v>20900.0</v>
      </c>
      <c r="I172" s="5">
        <v>130900.0</v>
      </c>
      <c r="J172" s="2" t="s">
        <v>29</v>
      </c>
      <c r="K172" s="2" t="s">
        <v>465</v>
      </c>
      <c r="L172" s="2" t="s">
        <v>466</v>
      </c>
      <c r="M172" s="2" t="s">
        <v>467</v>
      </c>
      <c r="N172" s="2" t="s">
        <v>33</v>
      </c>
      <c r="O172" s="2" t="s">
        <v>34</v>
      </c>
      <c r="P172" s="2">
        <v>5.1141526E7</v>
      </c>
      <c r="Q172" s="2" t="s">
        <v>1358</v>
      </c>
      <c r="R172" s="6">
        <v>1000.0</v>
      </c>
      <c r="S172" s="2" t="s">
        <v>141</v>
      </c>
      <c r="T172" s="7">
        <v>110.0</v>
      </c>
      <c r="U172" s="5">
        <v>110000.0</v>
      </c>
      <c r="V172" s="2" t="s">
        <v>1359</v>
      </c>
      <c r="W172" s="2" t="s">
        <v>1360</v>
      </c>
      <c r="X172" s="2">
        <v>5.1141526E7</v>
      </c>
      <c r="Y172" s="2" t="s">
        <v>466</v>
      </c>
      <c r="Z172" s="2" t="s">
        <v>1361</v>
      </c>
    </row>
    <row r="173">
      <c r="A173" s="2" t="s">
        <v>1362</v>
      </c>
      <c r="B173" s="3">
        <v>45600.0</v>
      </c>
      <c r="C173" s="2" t="s">
        <v>1363</v>
      </c>
      <c r="D173" s="2" t="s">
        <v>1364</v>
      </c>
      <c r="E173" s="4">
        <v>64800.0</v>
      </c>
      <c r="F173" s="5">
        <v>0.0</v>
      </c>
      <c r="G173" s="5">
        <v>0.0</v>
      </c>
      <c r="H173" s="5">
        <v>12312.0</v>
      </c>
      <c r="I173" s="5">
        <v>77112.0</v>
      </c>
      <c r="J173" s="2" t="s">
        <v>29</v>
      </c>
      <c r="K173" s="2" t="s">
        <v>190</v>
      </c>
      <c r="L173" s="2" t="s">
        <v>191</v>
      </c>
      <c r="M173" s="2" t="s">
        <v>192</v>
      </c>
      <c r="N173" s="2" t="s">
        <v>108</v>
      </c>
      <c r="O173" s="2" t="s">
        <v>34</v>
      </c>
      <c r="P173" s="2">
        <v>5.1142121E7</v>
      </c>
      <c r="Q173" s="2" t="s">
        <v>1365</v>
      </c>
      <c r="R173" s="6">
        <v>600.0</v>
      </c>
      <c r="S173" s="2" t="s">
        <v>1366</v>
      </c>
      <c r="T173" s="7">
        <v>108.0</v>
      </c>
      <c r="U173" s="5">
        <v>64800.0</v>
      </c>
      <c r="V173" s="2" t="s">
        <v>1367</v>
      </c>
      <c r="W173" s="2" t="s">
        <v>1368</v>
      </c>
      <c r="X173" s="2">
        <v>5.1142121E7</v>
      </c>
      <c r="Y173" s="2" t="s">
        <v>191</v>
      </c>
      <c r="Z173" s="2" t="s">
        <v>1369</v>
      </c>
    </row>
    <row r="174">
      <c r="A174" s="2" t="s">
        <v>1370</v>
      </c>
      <c r="B174" s="3">
        <v>45425.0</v>
      </c>
      <c r="C174" s="2" t="s">
        <v>1371</v>
      </c>
      <c r="D174" s="2" t="s">
        <v>1372</v>
      </c>
      <c r="E174" s="4">
        <v>81000.0</v>
      </c>
      <c r="F174" s="5">
        <v>0.0</v>
      </c>
      <c r="G174" s="5">
        <v>0.0</v>
      </c>
      <c r="H174" s="5">
        <v>15390.0</v>
      </c>
      <c r="I174" s="5">
        <v>96390.0</v>
      </c>
      <c r="J174" s="2" t="s">
        <v>29</v>
      </c>
      <c r="K174" s="2" t="s">
        <v>1266</v>
      </c>
      <c r="L174" s="2" t="s">
        <v>1267</v>
      </c>
      <c r="M174" s="2" t="s">
        <v>1268</v>
      </c>
      <c r="N174" s="2" t="s">
        <v>63</v>
      </c>
      <c r="O174" s="2" t="s">
        <v>34</v>
      </c>
      <c r="P174" s="2">
        <v>1.2162205E7</v>
      </c>
      <c r="Q174" s="2" t="s">
        <v>1373</v>
      </c>
      <c r="R174" s="6">
        <v>900.0</v>
      </c>
      <c r="S174" s="2" t="s">
        <v>573</v>
      </c>
      <c r="T174" s="7">
        <v>90.0</v>
      </c>
      <c r="U174" s="5">
        <v>81000.0</v>
      </c>
      <c r="V174" s="2" t="s">
        <v>1374</v>
      </c>
      <c r="W174" s="2" t="s">
        <v>1375</v>
      </c>
      <c r="X174" s="2">
        <v>1.2162205E7</v>
      </c>
      <c r="Y174" s="2" t="s">
        <v>1267</v>
      </c>
      <c r="Z174" s="2" t="s">
        <v>1376</v>
      </c>
    </row>
    <row r="175">
      <c r="A175" s="2" t="s">
        <v>1377</v>
      </c>
      <c r="B175" s="3">
        <v>45419.0</v>
      </c>
      <c r="C175" s="2" t="s">
        <v>1378</v>
      </c>
      <c r="D175" s="2" t="s">
        <v>1379</v>
      </c>
      <c r="E175" s="4">
        <v>876000.0</v>
      </c>
      <c r="F175" s="5">
        <v>0.0</v>
      </c>
      <c r="G175" s="5">
        <v>0.0</v>
      </c>
      <c r="H175" s="5">
        <v>166440.0</v>
      </c>
      <c r="I175" s="5">
        <v>1042440.0</v>
      </c>
      <c r="J175" s="2" t="s">
        <v>29</v>
      </c>
      <c r="K175" s="2" t="s">
        <v>1057</v>
      </c>
      <c r="L175" s="2" t="s">
        <v>1058</v>
      </c>
      <c r="M175" s="2" t="s">
        <v>1059</v>
      </c>
      <c r="N175" s="8" t="s">
        <v>33</v>
      </c>
      <c r="O175" s="2" t="s">
        <v>34</v>
      </c>
      <c r="P175" s="2">
        <v>8.5121902E7</v>
      </c>
      <c r="Q175" s="2" t="s">
        <v>1380</v>
      </c>
      <c r="R175" s="6">
        <v>12000.0</v>
      </c>
      <c r="S175" s="2" t="s">
        <v>141</v>
      </c>
      <c r="T175" s="7">
        <v>73.0</v>
      </c>
      <c r="U175" s="5">
        <v>876000.0</v>
      </c>
      <c r="V175" s="2" t="s">
        <v>1381</v>
      </c>
      <c r="W175" s="2" t="s">
        <v>1382</v>
      </c>
      <c r="X175" s="2">
        <v>8.5121902E7</v>
      </c>
      <c r="Y175" s="2" t="s">
        <v>1058</v>
      </c>
      <c r="Z175" s="2" t="s">
        <v>1383</v>
      </c>
    </row>
    <row r="176">
      <c r="A176" s="2" t="s">
        <v>1384</v>
      </c>
      <c r="B176" s="3">
        <v>45470.0</v>
      </c>
      <c r="C176" s="2" t="s">
        <v>1385</v>
      </c>
      <c r="D176" s="2" t="s">
        <v>1386</v>
      </c>
      <c r="E176" s="4">
        <v>438000.0</v>
      </c>
      <c r="F176" s="5">
        <v>0.0</v>
      </c>
      <c r="G176" s="5">
        <v>0.0</v>
      </c>
      <c r="H176" s="5">
        <v>83220.0</v>
      </c>
      <c r="I176" s="5">
        <v>521220.0</v>
      </c>
      <c r="J176" s="2" t="s">
        <v>29</v>
      </c>
      <c r="K176" s="2" t="s">
        <v>1057</v>
      </c>
      <c r="L176" s="2" t="s">
        <v>1058</v>
      </c>
      <c r="M176" s="2" t="s">
        <v>1059</v>
      </c>
      <c r="N176" s="2" t="s">
        <v>33</v>
      </c>
      <c r="O176" s="2" t="s">
        <v>34</v>
      </c>
      <c r="P176" s="2">
        <v>8.5121902E7</v>
      </c>
      <c r="Q176" s="2" t="s">
        <v>1380</v>
      </c>
      <c r="R176" s="6">
        <v>6000.0</v>
      </c>
      <c r="S176" s="2" t="s">
        <v>141</v>
      </c>
      <c r="T176" s="7">
        <v>73.0</v>
      </c>
      <c r="U176" s="5">
        <v>438000.0</v>
      </c>
      <c r="V176" s="2" t="s">
        <v>1387</v>
      </c>
      <c r="W176" s="2" t="s">
        <v>1382</v>
      </c>
      <c r="X176" s="2">
        <v>8.5121902E7</v>
      </c>
      <c r="Y176" s="2" t="s">
        <v>1058</v>
      </c>
      <c r="Z176" s="2" t="s">
        <v>1383</v>
      </c>
    </row>
    <row r="177">
      <c r="A177" s="2" t="s">
        <v>1388</v>
      </c>
      <c r="B177" s="3">
        <v>45440.0</v>
      </c>
      <c r="C177" s="2" t="s">
        <v>1389</v>
      </c>
      <c r="D177" s="2" t="s">
        <v>1390</v>
      </c>
      <c r="E177" s="4">
        <v>241920.0</v>
      </c>
      <c r="F177" s="5">
        <v>0.0</v>
      </c>
      <c r="G177" s="5">
        <v>0.0</v>
      </c>
      <c r="H177" s="5">
        <v>45964.8</v>
      </c>
      <c r="I177" s="5">
        <v>287884.8</v>
      </c>
      <c r="J177" s="2" t="s">
        <v>29</v>
      </c>
      <c r="K177" s="2" t="s">
        <v>310</v>
      </c>
      <c r="L177" s="2" t="s">
        <v>311</v>
      </c>
      <c r="M177" s="2" t="s">
        <v>312</v>
      </c>
      <c r="N177" s="2" t="s">
        <v>33</v>
      </c>
      <c r="O177" s="2" t="s">
        <v>34</v>
      </c>
      <c r="P177" s="2">
        <v>5.1171913E7</v>
      </c>
      <c r="Q177" s="2" t="s">
        <v>1391</v>
      </c>
      <c r="R177" s="6">
        <v>3360.0</v>
      </c>
      <c r="S177" s="2" t="s">
        <v>141</v>
      </c>
      <c r="T177" s="7">
        <v>72.0</v>
      </c>
      <c r="U177" s="5">
        <v>241920.0</v>
      </c>
      <c r="V177" s="2" t="s">
        <v>1392</v>
      </c>
      <c r="W177" s="2" t="s">
        <v>1393</v>
      </c>
      <c r="X177" s="2">
        <v>5.1171913E7</v>
      </c>
      <c r="Y177" s="2" t="s">
        <v>311</v>
      </c>
      <c r="Z177" s="2" t="s">
        <v>1394</v>
      </c>
    </row>
    <row r="178">
      <c r="A178" s="2" t="s">
        <v>1395</v>
      </c>
      <c r="B178" s="3">
        <v>45777.0</v>
      </c>
      <c r="C178" s="2" t="s">
        <v>1396</v>
      </c>
      <c r="D178" s="2" t="s">
        <v>1397</v>
      </c>
      <c r="E178" s="4">
        <v>63360.0</v>
      </c>
      <c r="F178" s="5">
        <v>0.0</v>
      </c>
      <c r="G178" s="5">
        <v>0.0</v>
      </c>
      <c r="H178" s="5">
        <v>12038.4</v>
      </c>
      <c r="I178" s="5">
        <v>75398.4</v>
      </c>
      <c r="J178" s="2" t="s">
        <v>29</v>
      </c>
      <c r="K178" s="2" t="s">
        <v>127</v>
      </c>
      <c r="L178" s="2" t="s">
        <v>128</v>
      </c>
      <c r="M178" s="2" t="s">
        <v>129</v>
      </c>
      <c r="N178" s="2" t="s">
        <v>108</v>
      </c>
      <c r="O178" s="2" t="s">
        <v>34</v>
      </c>
      <c r="P178" s="2">
        <v>5.1141617E7</v>
      </c>
      <c r="Q178" s="2" t="s">
        <v>1398</v>
      </c>
      <c r="R178" s="6">
        <v>990.0</v>
      </c>
      <c r="S178" s="2" t="s">
        <v>141</v>
      </c>
      <c r="T178" s="7">
        <v>64.0</v>
      </c>
      <c r="U178" s="5">
        <v>63360.0</v>
      </c>
      <c r="V178" s="2" t="s">
        <v>1399</v>
      </c>
      <c r="W178" s="2" t="s">
        <v>1400</v>
      </c>
      <c r="X178" s="2">
        <v>5.1141617E7</v>
      </c>
      <c r="Y178" s="2" t="s">
        <v>128</v>
      </c>
      <c r="Z178" s="2" t="s">
        <v>1401</v>
      </c>
    </row>
    <row r="179">
      <c r="A179" s="2" t="s">
        <v>1402</v>
      </c>
      <c r="B179" s="3">
        <v>45622.0</v>
      </c>
      <c r="C179" s="2" t="s">
        <v>1403</v>
      </c>
      <c r="D179" s="2" t="s">
        <v>1404</v>
      </c>
      <c r="E179" s="4">
        <v>378000.0</v>
      </c>
      <c r="F179" s="5">
        <v>0.0</v>
      </c>
      <c r="G179" s="5">
        <v>0.0</v>
      </c>
      <c r="H179" s="5">
        <v>71820.0</v>
      </c>
      <c r="I179" s="5">
        <v>449820.0</v>
      </c>
      <c r="J179" s="2" t="s">
        <v>29</v>
      </c>
      <c r="K179" s="2" t="s">
        <v>1405</v>
      </c>
      <c r="L179" s="2" t="s">
        <v>1406</v>
      </c>
      <c r="N179" s="8" t="s">
        <v>63</v>
      </c>
      <c r="O179" s="2" t="s">
        <v>34</v>
      </c>
      <c r="P179" s="2">
        <v>5.1191905E7</v>
      </c>
      <c r="Q179" s="2" t="s">
        <v>1407</v>
      </c>
      <c r="R179" s="6">
        <v>9000.0</v>
      </c>
      <c r="S179" s="2" t="s">
        <v>573</v>
      </c>
      <c r="T179" s="7">
        <v>42.0</v>
      </c>
      <c r="U179" s="5">
        <v>378000.0</v>
      </c>
      <c r="V179" s="2" t="s">
        <v>1408</v>
      </c>
      <c r="W179" s="2" t="s">
        <v>1409</v>
      </c>
      <c r="X179" s="2">
        <v>5.1191905E7</v>
      </c>
      <c r="Y179" s="2" t="s">
        <v>1406</v>
      </c>
      <c r="Z179" s="2" t="s">
        <v>1410</v>
      </c>
    </row>
    <row r="180">
      <c r="A180" s="2" t="s">
        <v>1411</v>
      </c>
      <c r="B180" s="3">
        <v>45806.0</v>
      </c>
      <c r="C180" s="2" t="s">
        <v>1412</v>
      </c>
      <c r="D180" s="2" t="s">
        <v>1413</v>
      </c>
      <c r="E180" s="4">
        <v>78000.0</v>
      </c>
      <c r="F180" s="5">
        <v>0.0</v>
      </c>
      <c r="G180" s="5">
        <v>0.0</v>
      </c>
      <c r="H180" s="5">
        <v>14820.0</v>
      </c>
      <c r="I180" s="5">
        <v>92820.0</v>
      </c>
      <c r="J180" s="2" t="s">
        <v>29</v>
      </c>
      <c r="K180" s="2" t="s">
        <v>726</v>
      </c>
      <c r="L180" s="2" t="s">
        <v>727</v>
      </c>
      <c r="M180" s="2" t="s">
        <v>728</v>
      </c>
      <c r="N180" s="2" t="s">
        <v>108</v>
      </c>
      <c r="O180" s="2" t="s">
        <v>623</v>
      </c>
      <c r="P180" s="2">
        <v>5.1142235E7</v>
      </c>
      <c r="Q180" s="2" t="s">
        <v>1414</v>
      </c>
      <c r="R180" s="6">
        <v>2000.0</v>
      </c>
      <c r="S180" s="2" t="s">
        <v>141</v>
      </c>
      <c r="T180" s="7">
        <v>39.0</v>
      </c>
      <c r="U180" s="5">
        <v>78000.0</v>
      </c>
      <c r="V180" s="2" t="s">
        <v>1415</v>
      </c>
      <c r="W180" s="2" t="s">
        <v>1416</v>
      </c>
      <c r="X180" s="2">
        <v>5.1142235E7</v>
      </c>
      <c r="Y180" s="2" t="s">
        <v>727</v>
      </c>
      <c r="Z180" s="2" t="s">
        <v>1417</v>
      </c>
    </row>
    <row r="181">
      <c r="A181" s="2" t="s">
        <v>1418</v>
      </c>
      <c r="B181" s="3">
        <v>45498.0</v>
      </c>
      <c r="C181" s="2" t="s">
        <v>1419</v>
      </c>
      <c r="D181" s="2" t="s">
        <v>1420</v>
      </c>
      <c r="E181" s="4">
        <v>228000.0</v>
      </c>
      <c r="F181" s="5">
        <v>0.0</v>
      </c>
      <c r="G181" s="5">
        <v>0.0</v>
      </c>
      <c r="H181" s="5">
        <v>43320.0</v>
      </c>
      <c r="I181" s="5">
        <v>271320.0</v>
      </c>
      <c r="J181" s="2" t="s">
        <v>29</v>
      </c>
      <c r="K181" s="2" t="s">
        <v>1421</v>
      </c>
      <c r="L181" s="2" t="s">
        <v>1422</v>
      </c>
      <c r="M181" s="2" t="s">
        <v>1423</v>
      </c>
      <c r="N181" s="8" t="s">
        <v>33</v>
      </c>
      <c r="O181" s="2" t="s">
        <v>34</v>
      </c>
      <c r="P181" s="2">
        <v>5.1121818E7</v>
      </c>
      <c r="Q181" s="2" t="s">
        <v>1424</v>
      </c>
      <c r="R181" s="6">
        <v>6000.0</v>
      </c>
      <c r="S181" s="2" t="s">
        <v>141</v>
      </c>
      <c r="T181" s="7">
        <v>38.0</v>
      </c>
      <c r="U181" s="5">
        <v>228000.0</v>
      </c>
      <c r="V181" s="2" t="s">
        <v>1425</v>
      </c>
      <c r="W181" s="2" t="s">
        <v>1426</v>
      </c>
      <c r="X181" s="2">
        <v>5.1121818E7</v>
      </c>
      <c r="Y181" s="2" t="s">
        <v>1422</v>
      </c>
      <c r="Z181" s="2" t="s">
        <v>1427</v>
      </c>
    </row>
    <row r="182">
      <c r="A182" s="2" t="s">
        <v>1428</v>
      </c>
      <c r="B182" s="3">
        <v>45512.0</v>
      </c>
      <c r="C182" s="2" t="s">
        <v>1429</v>
      </c>
      <c r="D182" s="2" t="s">
        <v>1430</v>
      </c>
      <c r="E182" s="4">
        <v>558600.0</v>
      </c>
      <c r="F182" s="5">
        <v>0.0</v>
      </c>
      <c r="G182" s="5">
        <v>0.0</v>
      </c>
      <c r="H182" s="5">
        <v>106134.0</v>
      </c>
      <c r="I182" s="5">
        <v>664734.0</v>
      </c>
      <c r="J182" s="2" t="s">
        <v>29</v>
      </c>
      <c r="K182" s="2" t="s">
        <v>1421</v>
      </c>
      <c r="L182" s="2" t="s">
        <v>1422</v>
      </c>
      <c r="M182" s="2" t="s">
        <v>1423</v>
      </c>
      <c r="N182" s="8" t="s">
        <v>33</v>
      </c>
      <c r="O182" s="2" t="s">
        <v>34</v>
      </c>
      <c r="P182" s="2">
        <v>5.1121818E7</v>
      </c>
      <c r="Q182" s="2" t="s">
        <v>1424</v>
      </c>
      <c r="R182" s="6">
        <v>14700.0</v>
      </c>
      <c r="S182" s="2" t="s">
        <v>141</v>
      </c>
      <c r="T182" s="7">
        <v>38.0</v>
      </c>
      <c r="U182" s="5">
        <v>558600.0</v>
      </c>
      <c r="V182" s="2" t="s">
        <v>1431</v>
      </c>
      <c r="W182" s="2" t="s">
        <v>1426</v>
      </c>
      <c r="X182" s="2">
        <v>5.1121818E7</v>
      </c>
      <c r="Y182" s="2" t="s">
        <v>1422</v>
      </c>
      <c r="Z182" s="2" t="s">
        <v>1432</v>
      </c>
    </row>
    <row r="183">
      <c r="A183" s="2" t="s">
        <v>1433</v>
      </c>
      <c r="B183" s="3">
        <v>45670.0</v>
      </c>
      <c r="C183" s="2" t="s">
        <v>1434</v>
      </c>
      <c r="D183" s="2" t="s">
        <v>1435</v>
      </c>
      <c r="E183" s="4">
        <v>72000.0</v>
      </c>
      <c r="F183" s="5">
        <v>0.0</v>
      </c>
      <c r="G183" s="5">
        <v>0.0</v>
      </c>
      <c r="H183" s="5">
        <v>13680.0</v>
      </c>
      <c r="I183" s="5">
        <v>85680.0</v>
      </c>
      <c r="J183" s="2" t="s">
        <v>29</v>
      </c>
      <c r="K183" s="2" t="s">
        <v>190</v>
      </c>
      <c r="L183" s="2" t="s">
        <v>191</v>
      </c>
      <c r="M183" s="2" t="s">
        <v>192</v>
      </c>
      <c r="N183" s="2" t="s">
        <v>63</v>
      </c>
      <c r="O183" s="2" t="s">
        <v>34</v>
      </c>
      <c r="P183" s="2">
        <v>5.1151801E7</v>
      </c>
      <c r="Q183" s="2" t="s">
        <v>1436</v>
      </c>
      <c r="R183" s="6">
        <v>2000.0</v>
      </c>
      <c r="S183" s="2" t="s">
        <v>141</v>
      </c>
      <c r="T183" s="7">
        <v>36.0</v>
      </c>
      <c r="U183" s="5">
        <v>72000.0</v>
      </c>
      <c r="V183" s="2" t="s">
        <v>1437</v>
      </c>
      <c r="W183" s="2" t="s">
        <v>1438</v>
      </c>
      <c r="X183" s="2">
        <v>5.1151801E7</v>
      </c>
      <c r="Y183" s="2" t="s">
        <v>191</v>
      </c>
      <c r="Z183" s="2" t="s">
        <v>1439</v>
      </c>
    </row>
    <row r="184">
      <c r="A184" s="2" t="s">
        <v>1440</v>
      </c>
      <c r="B184" s="3">
        <v>45471.0</v>
      </c>
      <c r="C184" s="2" t="s">
        <v>1441</v>
      </c>
      <c r="D184" s="2" t="s">
        <v>1442</v>
      </c>
      <c r="E184" s="4">
        <v>1085000.0</v>
      </c>
      <c r="F184" s="5">
        <v>0.0</v>
      </c>
      <c r="G184" s="5">
        <v>0.0</v>
      </c>
      <c r="H184" s="5">
        <v>206150.0</v>
      </c>
      <c r="I184" s="5">
        <v>1291150.0</v>
      </c>
      <c r="J184" s="2" t="s">
        <v>29</v>
      </c>
      <c r="K184" s="2" t="s">
        <v>60</v>
      </c>
      <c r="L184" s="2" t="s">
        <v>61</v>
      </c>
      <c r="M184" s="2" t="s">
        <v>62</v>
      </c>
      <c r="N184" s="2" t="s">
        <v>63</v>
      </c>
      <c r="O184" s="2" t="s">
        <v>34</v>
      </c>
      <c r="P184" s="2">
        <v>5.1181517E7</v>
      </c>
      <c r="Q184" s="2" t="s">
        <v>1443</v>
      </c>
      <c r="R184" s="6">
        <v>31000.0</v>
      </c>
      <c r="S184" s="2" t="s">
        <v>141</v>
      </c>
      <c r="T184" s="7">
        <v>35.0</v>
      </c>
      <c r="U184" s="5">
        <v>1085000.0</v>
      </c>
      <c r="V184" s="2" t="s">
        <v>1444</v>
      </c>
      <c r="W184" s="2" t="s">
        <v>1445</v>
      </c>
      <c r="X184" s="2">
        <v>5.1181517E7</v>
      </c>
      <c r="Y184" s="2" t="s">
        <v>61</v>
      </c>
      <c r="Z184" s="2" t="s">
        <v>1446</v>
      </c>
    </row>
    <row r="185">
      <c r="A185" s="2" t="s">
        <v>1447</v>
      </c>
      <c r="B185" s="3">
        <v>45523.0</v>
      </c>
      <c r="C185" s="2" t="s">
        <v>1448</v>
      </c>
      <c r="D185" s="2" t="s">
        <v>1449</v>
      </c>
      <c r="E185" s="4">
        <v>105000.0</v>
      </c>
      <c r="F185" s="5">
        <v>0.0</v>
      </c>
      <c r="G185" s="5">
        <v>0.0</v>
      </c>
      <c r="H185" s="5">
        <v>19950.0</v>
      </c>
      <c r="I185" s="5">
        <v>124950.0</v>
      </c>
      <c r="J185" s="2" t="s">
        <v>29</v>
      </c>
      <c r="K185" s="2" t="s">
        <v>1450</v>
      </c>
      <c r="L185" s="2" t="s">
        <v>1451</v>
      </c>
      <c r="M185" s="2" t="s">
        <v>1452</v>
      </c>
      <c r="N185" s="8" t="s">
        <v>63</v>
      </c>
      <c r="O185" s="2" t="s">
        <v>34</v>
      </c>
      <c r="P185" s="2">
        <v>8.5121902E7</v>
      </c>
      <c r="Q185" s="2" t="s">
        <v>1453</v>
      </c>
      <c r="R185" s="6">
        <v>3000.0</v>
      </c>
      <c r="S185" s="2" t="s">
        <v>141</v>
      </c>
      <c r="T185" s="7">
        <v>35.0</v>
      </c>
      <c r="U185" s="5">
        <v>105000.0</v>
      </c>
      <c r="V185" s="2" t="s">
        <v>1454</v>
      </c>
      <c r="W185" s="2" t="s">
        <v>1455</v>
      </c>
      <c r="X185" s="2">
        <v>8.5121902E7</v>
      </c>
      <c r="Y185" s="2" t="s">
        <v>1451</v>
      </c>
      <c r="Z185" s="2" t="s">
        <v>1456</v>
      </c>
    </row>
    <row r="186">
      <c r="A186" s="2" t="s">
        <v>1457</v>
      </c>
      <c r="B186" s="3">
        <v>45713.0</v>
      </c>
      <c r="C186" s="2" t="s">
        <v>1458</v>
      </c>
      <c r="D186" s="2" t="s">
        <v>1459</v>
      </c>
      <c r="E186" s="4">
        <v>384000.0</v>
      </c>
      <c r="F186" s="5">
        <v>0.0</v>
      </c>
      <c r="G186" s="5">
        <v>0.0</v>
      </c>
      <c r="H186" s="5">
        <v>72960.0</v>
      </c>
      <c r="I186" s="5">
        <v>456960.0</v>
      </c>
      <c r="J186" s="2" t="s">
        <v>29</v>
      </c>
      <c r="K186" s="2" t="s">
        <v>1460</v>
      </c>
      <c r="L186" s="2" t="s">
        <v>1461</v>
      </c>
      <c r="N186" s="2" t="s">
        <v>108</v>
      </c>
      <c r="O186" s="2" t="s">
        <v>34</v>
      </c>
      <c r="P186" s="2">
        <v>5.1142131E7</v>
      </c>
      <c r="Q186" s="2" t="s">
        <v>1462</v>
      </c>
      <c r="R186" s="6">
        <v>12000.0</v>
      </c>
      <c r="S186" s="2" t="s">
        <v>573</v>
      </c>
      <c r="T186" s="7">
        <v>32.0</v>
      </c>
      <c r="U186" s="5">
        <v>384000.0</v>
      </c>
      <c r="V186" s="2" t="s">
        <v>1463</v>
      </c>
      <c r="W186" s="2" t="s">
        <v>1464</v>
      </c>
      <c r="X186" s="2">
        <v>5.1142131E7</v>
      </c>
      <c r="Y186" s="2" t="s">
        <v>1461</v>
      </c>
      <c r="Z186" s="2" t="s">
        <v>1465</v>
      </c>
    </row>
    <row r="187">
      <c r="A187" s="2" t="s">
        <v>1466</v>
      </c>
      <c r="B187" s="3">
        <v>45897.0</v>
      </c>
      <c r="C187" s="2" t="s">
        <v>1467</v>
      </c>
      <c r="D187" s="2" t="s">
        <v>1468</v>
      </c>
      <c r="E187" s="4">
        <v>201600.0</v>
      </c>
      <c r="F187" s="5">
        <v>0.0</v>
      </c>
      <c r="G187" s="5">
        <v>0.0</v>
      </c>
      <c r="H187" s="5">
        <v>38304.0</v>
      </c>
      <c r="I187" s="5">
        <v>239904.0</v>
      </c>
      <c r="J187" s="2" t="s">
        <v>29</v>
      </c>
      <c r="K187" s="2" t="s">
        <v>127</v>
      </c>
      <c r="L187" s="2" t="s">
        <v>128</v>
      </c>
      <c r="M187" s="2" t="s">
        <v>129</v>
      </c>
      <c r="N187" s="2" t="s">
        <v>108</v>
      </c>
      <c r="O187" s="2" t="s">
        <v>34</v>
      </c>
      <c r="P187" s="2">
        <v>5.114181E7</v>
      </c>
      <c r="Q187" s="2" t="s">
        <v>1469</v>
      </c>
      <c r="R187" s="6">
        <v>7200.0</v>
      </c>
      <c r="S187" s="2" t="s">
        <v>141</v>
      </c>
      <c r="T187" s="7">
        <v>28.0</v>
      </c>
      <c r="U187" s="5">
        <v>201600.0</v>
      </c>
      <c r="V187" s="2" t="s">
        <v>1470</v>
      </c>
      <c r="W187" s="2" t="s">
        <v>1471</v>
      </c>
      <c r="X187" s="2">
        <v>5.114181E7</v>
      </c>
      <c r="Y187" s="2" t="s">
        <v>128</v>
      </c>
      <c r="Z187" s="2" t="s">
        <v>1472</v>
      </c>
    </row>
    <row r="188">
      <c r="A188" s="2" t="s">
        <v>1473</v>
      </c>
      <c r="B188" s="3">
        <v>45475.0</v>
      </c>
      <c r="C188" s="2" t="s">
        <v>1474</v>
      </c>
      <c r="D188" s="2" t="s">
        <v>1475</v>
      </c>
      <c r="E188" s="4">
        <v>945000.0</v>
      </c>
      <c r="F188" s="5">
        <v>0.0</v>
      </c>
      <c r="G188" s="5">
        <v>0.0</v>
      </c>
      <c r="H188" s="5">
        <v>179550.0</v>
      </c>
      <c r="I188" s="5">
        <v>1124550.0</v>
      </c>
      <c r="J188" s="2" t="s">
        <v>29</v>
      </c>
      <c r="K188" s="2" t="s">
        <v>620</v>
      </c>
      <c r="L188" s="2" t="s">
        <v>621</v>
      </c>
      <c r="M188" s="2" t="s">
        <v>622</v>
      </c>
      <c r="N188" s="2" t="s">
        <v>33</v>
      </c>
      <c r="O188" s="2" t="s">
        <v>623</v>
      </c>
      <c r="P188" s="2">
        <v>5.1121709E7</v>
      </c>
      <c r="Q188" s="2" t="s">
        <v>1476</v>
      </c>
      <c r="R188" s="6">
        <v>45000.0</v>
      </c>
      <c r="S188" s="2" t="s">
        <v>141</v>
      </c>
      <c r="T188" s="7">
        <v>21.0</v>
      </c>
      <c r="U188" s="5">
        <v>945000.0</v>
      </c>
      <c r="V188" s="2" t="s">
        <v>1477</v>
      </c>
      <c r="W188" s="2" t="s">
        <v>1478</v>
      </c>
      <c r="X188" s="2">
        <v>5.1121709E7</v>
      </c>
      <c r="Y188" s="2" t="s">
        <v>621</v>
      </c>
      <c r="Z188" s="2" t="s">
        <v>1479</v>
      </c>
    </row>
    <row r="189">
      <c r="A189" s="2" t="s">
        <v>1480</v>
      </c>
      <c r="B189" s="3">
        <v>45540.0</v>
      </c>
      <c r="C189" s="2" t="s">
        <v>1481</v>
      </c>
      <c r="D189" s="2" t="s">
        <v>1482</v>
      </c>
      <c r="E189" s="4">
        <v>228000.0</v>
      </c>
      <c r="F189" s="5">
        <v>0.0</v>
      </c>
      <c r="G189" s="5">
        <v>0.0</v>
      </c>
      <c r="H189" s="5">
        <v>43320.0</v>
      </c>
      <c r="I189" s="5">
        <v>271320.0</v>
      </c>
      <c r="J189" s="2" t="s">
        <v>29</v>
      </c>
      <c r="K189" s="2" t="s">
        <v>190</v>
      </c>
      <c r="L189" s="2" t="s">
        <v>191</v>
      </c>
      <c r="M189" s="2" t="s">
        <v>192</v>
      </c>
      <c r="N189" s="2" t="s">
        <v>108</v>
      </c>
      <c r="O189" s="2" t="s">
        <v>34</v>
      </c>
      <c r="P189" s="2">
        <v>5.1151812E7</v>
      </c>
      <c r="Q189" s="2" t="s">
        <v>1483</v>
      </c>
      <c r="R189" s="6">
        <v>12000.0</v>
      </c>
      <c r="S189" s="2" t="s">
        <v>141</v>
      </c>
      <c r="T189" s="7">
        <v>19.0</v>
      </c>
      <c r="U189" s="5">
        <v>228000.0</v>
      </c>
      <c r="V189" s="2" t="s">
        <v>1484</v>
      </c>
      <c r="W189" s="2" t="s">
        <v>1485</v>
      </c>
      <c r="X189" s="2">
        <v>5.1151812E7</v>
      </c>
      <c r="Y189" s="2" t="s">
        <v>191</v>
      </c>
      <c r="Z189" s="2" t="s">
        <v>1486</v>
      </c>
    </row>
    <row r="190">
      <c r="A190" s="2" t="s">
        <v>1487</v>
      </c>
      <c r="B190" s="3">
        <v>45907.0</v>
      </c>
      <c r="C190" s="2" t="s">
        <v>1488</v>
      </c>
      <c r="D190" s="2" t="s">
        <v>1489</v>
      </c>
      <c r="E190" s="4">
        <v>228000.0</v>
      </c>
      <c r="F190" s="5">
        <v>0.0</v>
      </c>
      <c r="G190" s="5">
        <v>0.0</v>
      </c>
      <c r="H190" s="5">
        <v>43320.0</v>
      </c>
      <c r="I190" s="5">
        <v>271320.0</v>
      </c>
      <c r="J190" s="2" t="s">
        <v>29</v>
      </c>
      <c r="K190" s="2" t="s">
        <v>190</v>
      </c>
      <c r="L190" s="2" t="s">
        <v>191</v>
      </c>
      <c r="M190" s="2" t="s">
        <v>192</v>
      </c>
      <c r="N190" s="2" t="s">
        <v>63</v>
      </c>
      <c r="O190" s="2" t="s">
        <v>34</v>
      </c>
      <c r="P190" s="2">
        <v>5.1151812E7</v>
      </c>
      <c r="Q190" s="2" t="s">
        <v>1483</v>
      </c>
      <c r="R190" s="6">
        <v>12000.0</v>
      </c>
      <c r="S190" s="2" t="s">
        <v>141</v>
      </c>
      <c r="T190" s="7">
        <v>19.0</v>
      </c>
      <c r="U190" s="5">
        <v>228000.0</v>
      </c>
      <c r="V190" s="2" t="s">
        <v>1490</v>
      </c>
      <c r="W190" s="2" t="s">
        <v>1491</v>
      </c>
      <c r="X190" s="2">
        <v>5.1151812E7</v>
      </c>
      <c r="Y190" s="2" t="s">
        <v>191</v>
      </c>
      <c r="Z190" s="2" t="s">
        <v>1492</v>
      </c>
    </row>
    <row r="191">
      <c r="A191" s="2" t="s">
        <v>1493</v>
      </c>
      <c r="B191" s="3">
        <v>45523.0</v>
      </c>
      <c r="C191" s="2" t="s">
        <v>1494</v>
      </c>
      <c r="D191" s="2" t="s">
        <v>1495</v>
      </c>
      <c r="E191" s="4">
        <v>110500.0</v>
      </c>
      <c r="F191" s="5">
        <v>0.0</v>
      </c>
      <c r="G191" s="5">
        <v>0.0</v>
      </c>
      <c r="H191" s="5">
        <v>20995.0</v>
      </c>
      <c r="I191" s="5">
        <v>131495.0</v>
      </c>
      <c r="J191" s="2" t="s">
        <v>29</v>
      </c>
      <c r="K191" s="2" t="s">
        <v>620</v>
      </c>
      <c r="L191" s="2" t="s">
        <v>621</v>
      </c>
      <c r="M191" s="2" t="s">
        <v>622</v>
      </c>
      <c r="N191" s="8" t="s">
        <v>33</v>
      </c>
      <c r="O191" s="2" t="s">
        <v>623</v>
      </c>
      <c r="P191" s="2">
        <v>8.5121902E7</v>
      </c>
      <c r="Q191" s="2" t="s">
        <v>1496</v>
      </c>
      <c r="R191" s="6">
        <v>6500.0</v>
      </c>
      <c r="S191" s="2" t="s">
        <v>141</v>
      </c>
      <c r="T191" s="7">
        <v>17.0</v>
      </c>
      <c r="U191" s="5">
        <v>110500.0</v>
      </c>
      <c r="V191" s="2" t="s">
        <v>1497</v>
      </c>
      <c r="W191" s="2" t="s">
        <v>1498</v>
      </c>
      <c r="X191" s="2">
        <v>8.5121902E7</v>
      </c>
      <c r="Y191" s="2" t="s">
        <v>621</v>
      </c>
      <c r="Z191" s="2" t="s">
        <v>791</v>
      </c>
    </row>
    <row r="192">
      <c r="A192" s="2" t="s">
        <v>1499</v>
      </c>
      <c r="B192" s="3">
        <v>45507.0</v>
      </c>
      <c r="C192" s="2" t="s">
        <v>1500</v>
      </c>
      <c r="D192" s="2" t="s">
        <v>1501</v>
      </c>
      <c r="E192" s="4">
        <v>44800.0</v>
      </c>
      <c r="F192" s="5">
        <v>0.0</v>
      </c>
      <c r="G192" s="5">
        <v>0.0</v>
      </c>
      <c r="H192" s="5">
        <v>8512.0</v>
      </c>
      <c r="I192" s="5">
        <v>53312.0</v>
      </c>
      <c r="J192" s="2" t="s">
        <v>29</v>
      </c>
      <c r="K192" s="2" t="s">
        <v>620</v>
      </c>
      <c r="L192" s="2" t="s">
        <v>621</v>
      </c>
      <c r="M192" s="2" t="s">
        <v>622</v>
      </c>
      <c r="N192" s="2" t="s">
        <v>33</v>
      </c>
      <c r="O192" s="2" t="s">
        <v>623</v>
      </c>
      <c r="P192" s="2">
        <v>5.1101807E7</v>
      </c>
      <c r="Q192" s="2" t="s">
        <v>1502</v>
      </c>
      <c r="R192" s="6">
        <v>2800.0</v>
      </c>
      <c r="S192" s="2" t="s">
        <v>141</v>
      </c>
      <c r="T192" s="7">
        <v>16.0</v>
      </c>
      <c r="U192" s="5">
        <v>44800.0</v>
      </c>
      <c r="V192" s="2" t="s">
        <v>1503</v>
      </c>
      <c r="W192" s="2" t="s">
        <v>1504</v>
      </c>
      <c r="X192" s="2">
        <v>5.1101807E7</v>
      </c>
      <c r="Y192" s="2" t="s">
        <v>621</v>
      </c>
      <c r="Z192" s="2" t="s">
        <v>1505</v>
      </c>
    </row>
    <row r="193">
      <c r="A193" s="2" t="s">
        <v>1506</v>
      </c>
      <c r="B193" s="3">
        <v>45540.0</v>
      </c>
      <c r="C193" s="2" t="s">
        <v>1507</v>
      </c>
      <c r="D193" s="2" t="s">
        <v>1508</v>
      </c>
      <c r="E193" s="4">
        <v>135675.0</v>
      </c>
      <c r="F193" s="5">
        <v>0.0</v>
      </c>
      <c r="G193" s="5">
        <v>0.0</v>
      </c>
      <c r="H193" s="5">
        <v>25778.25</v>
      </c>
      <c r="I193" s="5">
        <v>161453.25</v>
      </c>
      <c r="J193" s="2" t="s">
        <v>29</v>
      </c>
      <c r="K193" s="2" t="s">
        <v>620</v>
      </c>
      <c r="L193" s="2" t="s">
        <v>621</v>
      </c>
      <c r="M193" s="2" t="s">
        <v>622</v>
      </c>
      <c r="N193" s="2" t="s">
        <v>33</v>
      </c>
      <c r="O193" s="2" t="s">
        <v>623</v>
      </c>
      <c r="P193" s="2">
        <v>5.1121602E7</v>
      </c>
      <c r="Q193" s="2" t="s">
        <v>1509</v>
      </c>
      <c r="R193" s="6">
        <v>9045.0</v>
      </c>
      <c r="S193" s="2" t="s">
        <v>141</v>
      </c>
      <c r="T193" s="7">
        <v>15.0</v>
      </c>
      <c r="U193" s="5">
        <v>135675.0</v>
      </c>
      <c r="V193" s="2" t="s">
        <v>1510</v>
      </c>
      <c r="W193" s="2" t="s">
        <v>1511</v>
      </c>
      <c r="X193" s="2">
        <v>5.1121602E7</v>
      </c>
      <c r="Y193" s="2" t="s">
        <v>621</v>
      </c>
      <c r="Z193" s="2" t="s">
        <v>1512</v>
      </c>
    </row>
    <row r="194">
      <c r="A194" s="2" t="s">
        <v>1513</v>
      </c>
      <c r="B194" s="3">
        <v>45624.0</v>
      </c>
      <c r="C194" s="2" t="s">
        <v>1514</v>
      </c>
      <c r="D194" s="2" t="s">
        <v>1515</v>
      </c>
      <c r="E194" s="4">
        <v>196980.0</v>
      </c>
      <c r="F194" s="5">
        <v>0.0</v>
      </c>
      <c r="G194" s="5">
        <v>0.0</v>
      </c>
      <c r="H194" s="5">
        <v>37426.2</v>
      </c>
      <c r="I194" s="5">
        <v>234406.2</v>
      </c>
      <c r="J194" s="2" t="s">
        <v>29</v>
      </c>
      <c r="K194" s="2" t="s">
        <v>620</v>
      </c>
      <c r="L194" s="2" t="s">
        <v>621</v>
      </c>
      <c r="M194" s="2" t="s">
        <v>622</v>
      </c>
      <c r="N194" s="8" t="s">
        <v>33</v>
      </c>
      <c r="O194" s="2" t="s">
        <v>623</v>
      </c>
      <c r="P194" s="2">
        <v>5.1191517E7</v>
      </c>
      <c r="Q194" s="2" t="s">
        <v>1509</v>
      </c>
      <c r="R194" s="6">
        <v>14070.0</v>
      </c>
      <c r="S194" s="2" t="s">
        <v>141</v>
      </c>
      <c r="T194" s="7">
        <v>14.0</v>
      </c>
      <c r="U194" s="5">
        <v>196980.0</v>
      </c>
      <c r="V194" s="2" t="s">
        <v>1516</v>
      </c>
      <c r="W194" s="2" t="s">
        <v>1517</v>
      </c>
      <c r="X194" s="2">
        <v>5.1191517E7</v>
      </c>
      <c r="Y194" s="2" t="s">
        <v>621</v>
      </c>
      <c r="Z194" s="2" t="s">
        <v>1518</v>
      </c>
    </row>
    <row r="195">
      <c r="B195" s="3"/>
      <c r="E195" s="4"/>
      <c r="F195" s="5"/>
      <c r="G195" s="5"/>
      <c r="H195" s="5"/>
      <c r="I195" s="5"/>
      <c r="N195" s="8"/>
      <c r="R195" s="6"/>
      <c r="T195" s="7"/>
    </row>
  </sheetData>
  <autoFilter ref="$A$1:$Z$1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2" max="2" width="18.88"/>
    <col customWidth="1" min="3" max="3" width="91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8"/>
      <c r="B43" s="8"/>
    </row>
    <row r="44">
      <c r="A44" s="8"/>
      <c r="B44" s="8"/>
    </row>
    <row r="45">
      <c r="A45" s="8"/>
      <c r="B45" s="8"/>
    </row>
    <row r="46">
      <c r="A46" s="8"/>
      <c r="B46" s="8"/>
    </row>
    <row r="47">
      <c r="A47" s="8"/>
      <c r="B47" s="8"/>
    </row>
    <row r="48">
      <c r="A48" s="8"/>
      <c r="B48" s="8"/>
    </row>
    <row r="49">
      <c r="A49" s="8"/>
      <c r="B49" s="8"/>
    </row>
    <row r="50">
      <c r="A50" s="8"/>
      <c r="B50" s="8"/>
    </row>
    <row r="51">
      <c r="A51" s="8"/>
      <c r="B51" s="8"/>
    </row>
    <row r="52">
      <c r="A52" s="8"/>
      <c r="B52" s="8"/>
    </row>
    <row r="53">
      <c r="A53" s="8"/>
      <c r="B53" s="8"/>
    </row>
    <row r="54">
      <c r="A54" s="8"/>
      <c r="B54" s="8"/>
    </row>
    <row r="55">
      <c r="A55" s="8"/>
      <c r="B55" s="8"/>
    </row>
    <row r="56">
      <c r="A56" s="8"/>
      <c r="B56" s="8"/>
    </row>
    <row r="57">
      <c r="A57" s="8"/>
      <c r="B57" s="8"/>
    </row>
    <row r="58">
      <c r="A58" s="8"/>
      <c r="B58" s="8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19.63"/>
    <col customWidth="1" min="3" max="3" width="18.25"/>
    <col customWidth="1" min="4" max="7" width="30.75"/>
    <col customWidth="1" min="8" max="8" width="26.25"/>
    <col customWidth="1" min="9" max="9" width="20.88"/>
    <col customWidth="1" min="12" max="12" width="20.88"/>
    <col customWidth="1" min="13" max="14" width="29.25"/>
    <col customWidth="1" min="15" max="15" width="45.88"/>
    <col customWidth="1" min="16" max="16" width="25.5"/>
  </cols>
  <sheetData>
    <row r="7">
      <c r="A7" s="11" t="s">
        <v>1522</v>
      </c>
    </row>
    <row r="8" ht="22.5" customHeight="1">
      <c r="L8" s="12" t="s">
        <v>1523</v>
      </c>
      <c r="M8" s="13" t="s">
        <v>1524</v>
      </c>
      <c r="N8" s="12" t="s">
        <v>1525</v>
      </c>
      <c r="O8" s="14" t="s">
        <v>1526</v>
      </c>
      <c r="P8" s="14" t="s">
        <v>1527</v>
      </c>
    </row>
    <row r="9" ht="22.5" customHeight="1">
      <c r="A9" s="15" t="s">
        <v>1528</v>
      </c>
      <c r="B9" s="16" t="s">
        <v>1529</v>
      </c>
      <c r="C9" s="16" t="s">
        <v>1530</v>
      </c>
      <c r="D9" s="16" t="s">
        <v>1531</v>
      </c>
      <c r="E9" s="16" t="s">
        <v>1527</v>
      </c>
      <c r="F9" s="16" t="s">
        <v>1532</v>
      </c>
      <c r="G9" s="16" t="s">
        <v>1533</v>
      </c>
      <c r="H9" s="16" t="s">
        <v>1534</v>
      </c>
      <c r="I9" s="16" t="s">
        <v>1535</v>
      </c>
      <c r="L9" s="17">
        <f>TOTALES!C147</f>
        <v>149626460</v>
      </c>
      <c r="M9" s="17">
        <f>H10+G10+F10+D10+C10+B10</f>
        <v>140477859</v>
      </c>
      <c r="N9" s="17">
        <f t="shared" ref="N9:N10" si="1">B10+C10</f>
        <v>49329647.15</v>
      </c>
      <c r="O9" s="17">
        <f>D10+F10</f>
        <v>54541586.54</v>
      </c>
      <c r="P9" s="17">
        <v>4.613700329000001E7</v>
      </c>
    </row>
    <row r="10" ht="22.5" customHeight="1">
      <c r="A10" s="18" t="s">
        <v>1536</v>
      </c>
      <c r="B10" s="17">
        <f>'tabla dinamica total'!F17</f>
        <v>12341244.86</v>
      </c>
      <c r="C10" s="17">
        <f>'tabla dinamica total'!C47</f>
        <v>36988402.29</v>
      </c>
      <c r="D10" s="17">
        <f>'tabla dinamica total'!F72</f>
        <v>20394810.24</v>
      </c>
      <c r="E10" s="17">
        <f>'tabla dinamica total'!I58</f>
        <v>46137003.29</v>
      </c>
      <c r="F10" s="17">
        <f>'tabla dinamica total'!C74</f>
        <v>34146776.3</v>
      </c>
      <c r="G10" s="17">
        <f>'tabla dinamica total'!F24</f>
        <v>1837122</v>
      </c>
      <c r="H10" s="17">
        <f>'tabla dinamica total'!F50</f>
        <v>34769503.3</v>
      </c>
      <c r="I10" s="17">
        <f>SUM(B10:H10)</f>
        <v>186614862.3</v>
      </c>
      <c r="L10" s="19">
        <f>L9/I10</f>
        <v>0.8017928377</v>
      </c>
      <c r="M10" s="19">
        <f>M9/I10</f>
        <v>0.7527688699</v>
      </c>
      <c r="N10" s="19">
        <f t="shared" si="1"/>
        <v>0.2643393273</v>
      </c>
      <c r="O10" s="19">
        <f>O9/I10</f>
        <v>0.292268182</v>
      </c>
      <c r="P10" s="19">
        <v>0.24723113007352698</v>
      </c>
    </row>
    <row r="11" ht="22.5" customHeight="1">
      <c r="A11" s="18" t="s">
        <v>1537</v>
      </c>
      <c r="B11" s="19">
        <f t="shared" ref="B11:H11" si="2">B10/$I$10</f>
        <v>0.06613216498</v>
      </c>
      <c r="C11" s="19">
        <f t="shared" si="2"/>
        <v>0.1982071623</v>
      </c>
      <c r="D11" s="19">
        <f t="shared" si="2"/>
        <v>0.1092882421</v>
      </c>
      <c r="E11" s="19">
        <f t="shared" si="2"/>
        <v>0.2472311301</v>
      </c>
      <c r="F11" s="19">
        <f t="shared" si="2"/>
        <v>0.18297994</v>
      </c>
      <c r="G11" s="19">
        <f t="shared" si="2"/>
        <v>0.009844457068</v>
      </c>
      <c r="H11" s="19">
        <f t="shared" si="2"/>
        <v>0.1863169036</v>
      </c>
      <c r="I11" s="20"/>
      <c r="P11" s="21"/>
    </row>
    <row r="12" ht="22.5" customHeight="1">
      <c r="A12" s="18" t="s">
        <v>1538</v>
      </c>
      <c r="B12" s="19">
        <f>B11</f>
        <v>0.06613216498</v>
      </c>
      <c r="C12" s="19">
        <f t="shared" ref="C12:H12" si="3">B12+C11</f>
        <v>0.2643393273</v>
      </c>
      <c r="D12" s="19">
        <f t="shared" si="3"/>
        <v>0.3736275693</v>
      </c>
      <c r="E12" s="19">
        <f t="shared" si="3"/>
        <v>0.6208586994</v>
      </c>
      <c r="F12" s="19">
        <f t="shared" si="3"/>
        <v>0.8038386394</v>
      </c>
      <c r="G12" s="19">
        <f t="shared" si="3"/>
        <v>0.8136830964</v>
      </c>
      <c r="H12" s="19">
        <f t="shared" si="3"/>
        <v>1</v>
      </c>
      <c r="I12" s="22"/>
    </row>
    <row r="13" ht="22.5" customHeight="1">
      <c r="A13" s="18" t="s">
        <v>1539</v>
      </c>
      <c r="B13" s="22">
        <f>'tabla dinamica total'!E17</f>
        <v>15</v>
      </c>
      <c r="C13" s="23">
        <f>'tabla dinamica total'!B47</f>
        <v>46</v>
      </c>
      <c r="D13" s="22">
        <f>'tabla dinamica total'!E72</f>
        <v>20</v>
      </c>
      <c r="E13" s="22">
        <f>'tabla dinamica total'!H58</f>
        <v>56</v>
      </c>
      <c r="F13" s="22">
        <f>'tabla dinamica total'!B74</f>
        <v>25</v>
      </c>
      <c r="G13" s="22">
        <f>'tabla dinamica total'!E24</f>
        <v>5</v>
      </c>
      <c r="H13" s="22">
        <f>'tabla dinamica total'!E50</f>
        <v>26</v>
      </c>
      <c r="I13" s="22">
        <f>SUM(B13:H13)</f>
        <v>193</v>
      </c>
    </row>
    <row r="14" ht="22.5" customHeight="1">
      <c r="A14" s="18" t="s">
        <v>1540</v>
      </c>
      <c r="B14" s="19">
        <f t="shared" ref="B14:I14" si="4">B13/$I$13</f>
        <v>0.07772020725</v>
      </c>
      <c r="C14" s="19">
        <f t="shared" si="4"/>
        <v>0.2383419689</v>
      </c>
      <c r="D14" s="19">
        <f t="shared" si="4"/>
        <v>0.103626943</v>
      </c>
      <c r="E14" s="19">
        <f t="shared" si="4"/>
        <v>0.2901554404</v>
      </c>
      <c r="F14" s="19">
        <f t="shared" si="4"/>
        <v>0.1295336788</v>
      </c>
      <c r="G14" s="19">
        <f t="shared" si="4"/>
        <v>0.02590673575</v>
      </c>
      <c r="H14" s="19">
        <f t="shared" si="4"/>
        <v>0.1347150259</v>
      </c>
      <c r="I14" s="19">
        <f t="shared" si="4"/>
        <v>1</v>
      </c>
    </row>
    <row r="15" ht="22.5" customHeight="1">
      <c r="A15" s="18" t="s">
        <v>1541</v>
      </c>
      <c r="B15" s="22">
        <f>B13</f>
        <v>15</v>
      </c>
      <c r="C15" s="23">
        <f t="shared" ref="C15:H15" si="5">B15+C13</f>
        <v>61</v>
      </c>
      <c r="D15" s="23">
        <f t="shared" si="5"/>
        <v>81</v>
      </c>
      <c r="E15" s="23">
        <f t="shared" si="5"/>
        <v>137</v>
      </c>
      <c r="F15" s="23">
        <f t="shared" si="5"/>
        <v>162</v>
      </c>
      <c r="G15" s="23">
        <f t="shared" si="5"/>
        <v>167</v>
      </c>
      <c r="H15" s="23">
        <f t="shared" si="5"/>
        <v>193</v>
      </c>
      <c r="I15" s="22"/>
    </row>
    <row r="16" ht="22.5" customHeight="1">
      <c r="A16" s="18" t="s">
        <v>1542</v>
      </c>
      <c r="B16" s="19">
        <f t="shared" ref="B16:H16" si="6">B15/$I$13</f>
        <v>0.07772020725</v>
      </c>
      <c r="C16" s="19">
        <f t="shared" si="6"/>
        <v>0.3160621762</v>
      </c>
      <c r="D16" s="19">
        <f t="shared" si="6"/>
        <v>0.4196891192</v>
      </c>
      <c r="E16" s="19">
        <f t="shared" si="6"/>
        <v>0.7098445596</v>
      </c>
      <c r="F16" s="19">
        <f t="shared" si="6"/>
        <v>0.8393782383</v>
      </c>
      <c r="G16" s="19">
        <f t="shared" si="6"/>
        <v>0.8652849741</v>
      </c>
      <c r="H16" s="19">
        <f t="shared" si="6"/>
        <v>1</v>
      </c>
      <c r="I16" s="22"/>
    </row>
    <row r="17">
      <c r="B17" s="9" t="s">
        <v>1543</v>
      </c>
    </row>
    <row r="45">
      <c r="A45" s="8"/>
      <c r="B45" s="8"/>
      <c r="C45" s="8"/>
      <c r="D45" s="8"/>
      <c r="E45" s="8"/>
      <c r="F45" s="8"/>
      <c r="G45" s="8"/>
      <c r="H45" s="8"/>
    </row>
    <row r="46">
      <c r="A46" s="8"/>
      <c r="B46" s="8"/>
      <c r="C46" s="8"/>
      <c r="D46" s="8"/>
      <c r="E46" s="8"/>
      <c r="F46" s="8"/>
      <c r="G46" s="8"/>
      <c r="H46" s="8"/>
    </row>
    <row r="47">
      <c r="A47" s="8"/>
      <c r="B47" s="8"/>
      <c r="C47" s="8"/>
      <c r="D47" s="8"/>
      <c r="E47" s="8"/>
      <c r="F47" s="8"/>
      <c r="G47" s="8"/>
      <c r="H47" s="8"/>
    </row>
    <row r="48">
      <c r="A48" s="8"/>
      <c r="B48" s="8"/>
      <c r="C48" s="8"/>
      <c r="D48" s="8"/>
      <c r="E48" s="8"/>
      <c r="F48" s="8"/>
      <c r="G48" s="8"/>
      <c r="H48" s="8"/>
    </row>
    <row r="70" ht="22.5" customHeight="1">
      <c r="A70" s="15" t="s">
        <v>1544</v>
      </c>
      <c r="B70" s="16" t="s">
        <v>1529</v>
      </c>
      <c r="C70" s="16" t="s">
        <v>1530</v>
      </c>
      <c r="D70" s="16" t="s">
        <v>1531</v>
      </c>
      <c r="E70" s="16" t="s">
        <v>1527</v>
      </c>
      <c r="F70" s="16" t="s">
        <v>1532</v>
      </c>
      <c r="G70" s="16" t="s">
        <v>1533</v>
      </c>
      <c r="H70" s="16" t="s">
        <v>1534</v>
      </c>
      <c r="I70" s="16" t="s">
        <v>1535</v>
      </c>
    </row>
    <row r="71" ht="22.5" customHeight="1">
      <c r="A71" s="18" t="s">
        <v>1536</v>
      </c>
      <c r="B71" s="17">
        <v>1.234124486E7</v>
      </c>
      <c r="C71" s="17">
        <v>3.698840228999999E7</v>
      </c>
      <c r="D71" s="17">
        <v>2.0394810240000002E7</v>
      </c>
      <c r="E71" s="17">
        <v>4.613700329000001E7</v>
      </c>
      <c r="F71" s="17">
        <v>3.41467763E7</v>
      </c>
      <c r="G71" s="17">
        <v>1837122.0</v>
      </c>
      <c r="H71" s="17">
        <v>3.4769503300000004E7</v>
      </c>
      <c r="I71" s="17">
        <v>1.8661486228E8</v>
      </c>
    </row>
    <row r="72" ht="22.5" customHeight="1">
      <c r="A72" s="18" t="s">
        <v>1537</v>
      </c>
      <c r="B72" s="19">
        <v>0.06613216497988779</v>
      </c>
      <c r="C72" s="19">
        <v>0.1982071622703983</v>
      </c>
      <c r="D72" s="19">
        <v>0.10928824205544409</v>
      </c>
      <c r="E72" s="19">
        <v>0.24723113007352698</v>
      </c>
      <c r="F72" s="19">
        <v>0.18297993998337395</v>
      </c>
      <c r="G72" s="19">
        <v>0.009844457068181161</v>
      </c>
      <c r="H72" s="19">
        <v>0.1863169035691877</v>
      </c>
      <c r="I72" s="20"/>
    </row>
    <row r="73" ht="22.5" customHeight="1">
      <c r="A73" s="18" t="s">
        <v>1538</v>
      </c>
      <c r="B73" s="19">
        <v>0.06613216497988779</v>
      </c>
      <c r="C73" s="19">
        <v>0.2643393272502861</v>
      </c>
      <c r="D73" s="19">
        <v>0.37362756930573016</v>
      </c>
      <c r="E73" s="19">
        <v>0.6208586993792571</v>
      </c>
      <c r="F73" s="19">
        <v>0.803838639362631</v>
      </c>
      <c r="G73" s="19">
        <v>0.8136830964308122</v>
      </c>
      <c r="H73" s="19">
        <v>0.9999999999999999</v>
      </c>
      <c r="I73" s="22"/>
    </row>
    <row r="74" ht="22.5" customHeight="1">
      <c r="A74" s="18" t="s">
        <v>1539</v>
      </c>
      <c r="B74" s="22">
        <v>15.0</v>
      </c>
      <c r="C74" s="23">
        <v>46.0</v>
      </c>
      <c r="D74" s="22">
        <v>20.0</v>
      </c>
      <c r="E74" s="22">
        <v>56.0</v>
      </c>
      <c r="F74" s="22">
        <v>25.0</v>
      </c>
      <c r="G74" s="22">
        <v>5.0</v>
      </c>
      <c r="H74" s="22">
        <v>26.0</v>
      </c>
      <c r="I74" s="22">
        <v>193.0</v>
      </c>
    </row>
    <row r="75" ht="22.5" customHeight="1">
      <c r="A75" s="18" t="s">
        <v>1540</v>
      </c>
      <c r="B75" s="19">
        <v>0.07772020725388601</v>
      </c>
      <c r="C75" s="19">
        <v>0.23834196891191708</v>
      </c>
      <c r="D75" s="19">
        <v>0.10362694300518134</v>
      </c>
      <c r="E75" s="19">
        <v>0.29015544041450775</v>
      </c>
      <c r="F75" s="19">
        <v>0.12953367875647667</v>
      </c>
      <c r="G75" s="19">
        <v>0.025906735751295335</v>
      </c>
      <c r="H75" s="19">
        <v>0.13471502590673576</v>
      </c>
      <c r="I75" s="19">
        <v>1.0</v>
      </c>
    </row>
    <row r="76" ht="22.5" customHeight="1">
      <c r="A76" s="18" t="s">
        <v>1541</v>
      </c>
      <c r="B76" s="22">
        <v>15.0</v>
      </c>
      <c r="C76" s="23">
        <v>61.0</v>
      </c>
      <c r="D76" s="23">
        <v>81.0</v>
      </c>
      <c r="E76" s="23">
        <v>137.0</v>
      </c>
      <c r="F76" s="23">
        <v>162.0</v>
      </c>
      <c r="G76" s="23">
        <v>167.0</v>
      </c>
      <c r="H76" s="23">
        <v>193.0</v>
      </c>
      <c r="I76" s="22"/>
    </row>
    <row r="77" ht="22.5" customHeight="1">
      <c r="A77" s="24" t="s">
        <v>1542</v>
      </c>
      <c r="B77" s="25">
        <v>0.07772020725388601</v>
      </c>
      <c r="C77" s="25">
        <v>0.3160621761658031</v>
      </c>
      <c r="D77" s="25">
        <v>0.41968911917098445</v>
      </c>
      <c r="E77" s="25">
        <v>0.7098445595854922</v>
      </c>
      <c r="F77" s="25">
        <v>0.8393782383419689</v>
      </c>
      <c r="G77" s="25">
        <v>0.8652849740932642</v>
      </c>
      <c r="H77" s="25">
        <v>1.0</v>
      </c>
      <c r="I77" s="26"/>
    </row>
    <row r="78">
      <c r="A78" s="27"/>
    </row>
    <row r="79" ht="22.5" customHeight="1">
      <c r="A79" s="28" t="s">
        <v>1545</v>
      </c>
      <c r="B79" s="12" t="s">
        <v>1529</v>
      </c>
      <c r="C79" s="12" t="s">
        <v>1530</v>
      </c>
      <c r="D79" s="12" t="s">
        <v>1531</v>
      </c>
      <c r="E79" s="12" t="s">
        <v>1527</v>
      </c>
      <c r="F79" s="12" t="s">
        <v>1532</v>
      </c>
      <c r="G79" s="12" t="s">
        <v>1533</v>
      </c>
      <c r="H79" s="12" t="s">
        <v>1534</v>
      </c>
      <c r="I79" s="12" t="s">
        <v>1535</v>
      </c>
    </row>
    <row r="80" ht="22.5" customHeight="1">
      <c r="A80" s="18" t="s">
        <v>1536</v>
      </c>
      <c r="B80" s="17">
        <f>'Tabla dinámica 2024'!H10</f>
        <v>7776166.86</v>
      </c>
      <c r="C80" s="17">
        <f>'Tabla dinámica 2024'!D22</f>
        <v>8156588.44</v>
      </c>
      <c r="D80" s="17">
        <f>'Tabla dinámica 2024'!H45</f>
        <v>10531214.4</v>
      </c>
      <c r="E80" s="17">
        <f>'Tabla dinámica 2024'!L24</f>
        <v>15538045.39</v>
      </c>
      <c r="F80" s="17">
        <f>'Tabla dinámica 2024'!D42</f>
        <v>15318441.6</v>
      </c>
      <c r="G80" s="17">
        <f>'Tabla dinámica 2024'!H16</f>
        <v>848946</v>
      </c>
      <c r="H80" s="17">
        <f>'Tabla dinámica 2024'!H31</f>
        <v>18576542.6</v>
      </c>
      <c r="I80" s="17">
        <f>SUM(B80:H80)</f>
        <v>76745945.29</v>
      </c>
    </row>
    <row r="81" ht="22.5" customHeight="1">
      <c r="A81" s="18" t="s">
        <v>1537</v>
      </c>
      <c r="B81" s="19">
        <f t="shared" ref="B81:I81" si="7">B80/$I$80</f>
        <v>0.1013234879</v>
      </c>
      <c r="C81" s="19">
        <f t="shared" si="7"/>
        <v>0.1062803828</v>
      </c>
      <c r="D81" s="19">
        <f t="shared" si="7"/>
        <v>0.1372217693</v>
      </c>
      <c r="E81" s="19">
        <f t="shared" si="7"/>
        <v>0.2024607988</v>
      </c>
      <c r="F81" s="19">
        <f t="shared" si="7"/>
        <v>0.1995993605</v>
      </c>
      <c r="G81" s="19">
        <f t="shared" si="7"/>
        <v>0.01106177006</v>
      </c>
      <c r="H81" s="19">
        <f t="shared" si="7"/>
        <v>0.2420524307</v>
      </c>
      <c r="I81" s="19">
        <f t="shared" si="7"/>
        <v>1</v>
      </c>
    </row>
    <row r="82" ht="22.5" customHeight="1">
      <c r="A82" s="18" t="s">
        <v>1538</v>
      </c>
      <c r="B82" s="20">
        <f>B81</f>
        <v>0.1013234879</v>
      </c>
      <c r="C82" s="19">
        <f t="shared" ref="C82:H82" si="8">B82+C81</f>
        <v>0.2076038707</v>
      </c>
      <c r="D82" s="19">
        <f t="shared" si="8"/>
        <v>0.34482564</v>
      </c>
      <c r="E82" s="19">
        <f t="shared" si="8"/>
        <v>0.5472864388</v>
      </c>
      <c r="F82" s="19">
        <f t="shared" si="8"/>
        <v>0.7468857993</v>
      </c>
      <c r="G82" s="19">
        <f t="shared" si="8"/>
        <v>0.7579475693</v>
      </c>
      <c r="H82" s="19">
        <f t="shared" si="8"/>
        <v>1</v>
      </c>
      <c r="I82" s="22"/>
    </row>
    <row r="83" ht="22.5" customHeight="1">
      <c r="A83" s="18" t="s">
        <v>1539</v>
      </c>
      <c r="B83" s="23">
        <f>'Tabla dinámica 2024'!G10</f>
        <v>8</v>
      </c>
      <c r="C83" s="23">
        <f>'Tabla dinámica 2024'!C22</f>
        <v>20</v>
      </c>
      <c r="D83" s="23">
        <f>'Tabla dinámica 2024'!G45</f>
        <v>11</v>
      </c>
      <c r="E83" s="23">
        <f>'Tabla dinámica 2024'!K24</f>
        <v>22</v>
      </c>
      <c r="F83" s="23">
        <f>'Tabla dinámica 2024'!C42</f>
        <v>18</v>
      </c>
      <c r="G83" s="23">
        <f>'Tabla dinámica 2024'!G16</f>
        <v>3</v>
      </c>
      <c r="H83" s="23">
        <f>'Tabla dinámica 2024'!G31</f>
        <v>14</v>
      </c>
      <c r="I83" s="23">
        <f t="shared" ref="I83:I84" si="10">SUM(B83:H83)</f>
        <v>96</v>
      </c>
      <c r="L83" s="4">
        <f>I80+I89</f>
        <v>186614862.3</v>
      </c>
    </row>
    <row r="84" ht="22.5" customHeight="1">
      <c r="A84" s="18" t="s">
        <v>1540</v>
      </c>
      <c r="B84" s="19">
        <f t="shared" ref="B84:H84" si="9">B83/$I$83</f>
        <v>0.08333333333</v>
      </c>
      <c r="C84" s="19">
        <f t="shared" si="9"/>
        <v>0.2083333333</v>
      </c>
      <c r="D84" s="19">
        <f t="shared" si="9"/>
        <v>0.1145833333</v>
      </c>
      <c r="E84" s="19">
        <f t="shared" si="9"/>
        <v>0.2291666667</v>
      </c>
      <c r="F84" s="19">
        <f t="shared" si="9"/>
        <v>0.1875</v>
      </c>
      <c r="G84" s="19">
        <f t="shared" si="9"/>
        <v>0.03125</v>
      </c>
      <c r="H84" s="19">
        <f t="shared" si="9"/>
        <v>0.1458333333</v>
      </c>
      <c r="I84" s="19">
        <f t="shared" si="10"/>
        <v>1</v>
      </c>
      <c r="L84" s="7">
        <f>I83+I92</f>
        <v>193</v>
      </c>
    </row>
    <row r="85" ht="22.5" customHeight="1">
      <c r="A85" s="18" t="s">
        <v>1541</v>
      </c>
      <c r="B85" s="23">
        <f t="shared" ref="B85:B86" si="12">B83</f>
        <v>8</v>
      </c>
      <c r="C85" s="23">
        <f t="shared" ref="C85:H85" si="11">C83+B85</f>
        <v>28</v>
      </c>
      <c r="D85" s="23">
        <f t="shared" si="11"/>
        <v>39</v>
      </c>
      <c r="E85" s="23">
        <f t="shared" si="11"/>
        <v>61</v>
      </c>
      <c r="F85" s="23">
        <f t="shared" si="11"/>
        <v>79</v>
      </c>
      <c r="G85" s="23">
        <f t="shared" si="11"/>
        <v>82</v>
      </c>
      <c r="H85" s="23">
        <f t="shared" si="11"/>
        <v>96</v>
      </c>
      <c r="I85" s="19"/>
    </row>
    <row r="86" ht="22.5" customHeight="1">
      <c r="A86" s="18" t="s">
        <v>1542</v>
      </c>
      <c r="B86" s="19">
        <f t="shared" si="12"/>
        <v>0.08333333333</v>
      </c>
      <c r="C86" s="19">
        <f t="shared" ref="C86:H86" si="13">B86+C84</f>
        <v>0.2916666667</v>
      </c>
      <c r="D86" s="19">
        <f t="shared" si="13"/>
        <v>0.40625</v>
      </c>
      <c r="E86" s="19">
        <f t="shared" si="13"/>
        <v>0.6354166667</v>
      </c>
      <c r="F86" s="19">
        <f t="shared" si="13"/>
        <v>0.8229166667</v>
      </c>
      <c r="G86" s="19">
        <f t="shared" si="13"/>
        <v>0.8541666667</v>
      </c>
      <c r="H86" s="19">
        <f t="shared" si="13"/>
        <v>1</v>
      </c>
      <c r="I86" s="22"/>
    </row>
    <row r="87">
      <c r="A87" s="27"/>
    </row>
    <row r="88" ht="22.5" customHeight="1">
      <c r="A88" s="15" t="s">
        <v>1546</v>
      </c>
      <c r="B88" s="16" t="s">
        <v>1529</v>
      </c>
      <c r="C88" s="16" t="s">
        <v>1530</v>
      </c>
      <c r="D88" s="16" t="s">
        <v>1531</v>
      </c>
      <c r="E88" s="16" t="s">
        <v>1527</v>
      </c>
      <c r="F88" s="16" t="s">
        <v>1532</v>
      </c>
      <c r="G88" s="16" t="s">
        <v>1533</v>
      </c>
      <c r="H88" s="16" t="s">
        <v>1534</v>
      </c>
      <c r="I88" s="16" t="s">
        <v>1535</v>
      </c>
    </row>
    <row r="89" ht="22.5" customHeight="1">
      <c r="A89" s="18" t="s">
        <v>1536</v>
      </c>
      <c r="B89" s="17">
        <f>'tabla dinamica 2025'!H9</f>
        <v>4565078</v>
      </c>
      <c r="C89" s="17">
        <f>'tabla dinamica 2025'!D28</f>
        <v>28831813.85</v>
      </c>
      <c r="D89" s="17">
        <f>'tabla dinamica 2025'!H38</f>
        <v>9863595.84</v>
      </c>
      <c r="E89" s="17">
        <f>'tabla dinamica 2025'!L36</f>
        <v>30598957.9</v>
      </c>
      <c r="F89" s="17">
        <f>'tabla dinamica 2025'!D37</f>
        <v>18828334.7</v>
      </c>
      <c r="G89" s="17">
        <f>'tabla dinamica 2025'!H13</f>
        <v>988176</v>
      </c>
      <c r="H89" s="17">
        <f>'tabla dinamica 2025'!H27</f>
        <v>16192960.7</v>
      </c>
      <c r="I89" s="17">
        <f>SUM(B89:H89)</f>
        <v>109868917</v>
      </c>
    </row>
    <row r="90" ht="22.5" customHeight="1">
      <c r="A90" s="18" t="s">
        <v>1537</v>
      </c>
      <c r="B90" s="19">
        <f t="shared" ref="B90:H90" si="14">B89/$I$89</f>
        <v>0.04155022298</v>
      </c>
      <c r="C90" s="19">
        <f t="shared" si="14"/>
        <v>0.2624201152</v>
      </c>
      <c r="D90" s="19">
        <f t="shared" si="14"/>
        <v>0.08977603594</v>
      </c>
      <c r="E90" s="19">
        <f t="shared" si="14"/>
        <v>0.2785042279</v>
      </c>
      <c r="F90" s="19">
        <f t="shared" si="14"/>
        <v>0.1713708956</v>
      </c>
      <c r="G90" s="19">
        <f t="shared" si="14"/>
        <v>0.008994136168</v>
      </c>
      <c r="H90" s="19">
        <f t="shared" si="14"/>
        <v>0.1473843662</v>
      </c>
      <c r="I90" s="19"/>
    </row>
    <row r="91" ht="22.5" customHeight="1">
      <c r="A91" s="18" t="s">
        <v>1538</v>
      </c>
      <c r="B91" s="19">
        <f>B90</f>
        <v>0.04155022298</v>
      </c>
      <c r="C91" s="19">
        <f t="shared" ref="C91:H91" si="15">B91+C90</f>
        <v>0.3039703382</v>
      </c>
      <c r="D91" s="19">
        <f t="shared" si="15"/>
        <v>0.3937463741</v>
      </c>
      <c r="E91" s="19">
        <f t="shared" si="15"/>
        <v>0.672250602</v>
      </c>
      <c r="F91" s="19">
        <f t="shared" si="15"/>
        <v>0.8436214976</v>
      </c>
      <c r="G91" s="19">
        <f t="shared" si="15"/>
        <v>0.8526156338</v>
      </c>
      <c r="H91" s="19">
        <f t="shared" si="15"/>
        <v>1</v>
      </c>
      <c r="I91" s="22"/>
    </row>
    <row r="92" ht="22.5" customHeight="1">
      <c r="A92" s="18" t="s">
        <v>1539</v>
      </c>
      <c r="B92" s="23">
        <f>'tabla dinamica 2025'!G9</f>
        <v>7</v>
      </c>
      <c r="C92" s="23">
        <f>'tabla dinamica 2025'!C28</f>
        <v>26</v>
      </c>
      <c r="D92" s="23">
        <f>'tabla dinamica 2025'!G38</f>
        <v>9</v>
      </c>
      <c r="E92" s="23">
        <f>'tabla dinamica 2025'!K36</f>
        <v>34</v>
      </c>
      <c r="F92" s="23">
        <f>'tabla dinamica 2025'!C37</f>
        <v>7</v>
      </c>
      <c r="G92" s="23">
        <f>'tabla dinamica 2025'!G13</f>
        <v>2</v>
      </c>
      <c r="H92" s="23">
        <f>'tabla dinamica 2025'!G27</f>
        <v>12</v>
      </c>
      <c r="I92" s="23">
        <f>SUM(B92:H92)</f>
        <v>97</v>
      </c>
    </row>
    <row r="93" ht="22.5" customHeight="1">
      <c r="A93" s="18" t="s">
        <v>1540</v>
      </c>
      <c r="B93" s="19">
        <f t="shared" ref="B93:H93" si="16">B92/$I$92</f>
        <v>0.07216494845</v>
      </c>
      <c r="C93" s="19">
        <f t="shared" si="16"/>
        <v>0.2680412371</v>
      </c>
      <c r="D93" s="19">
        <f t="shared" si="16"/>
        <v>0.09278350515</v>
      </c>
      <c r="E93" s="19">
        <f t="shared" si="16"/>
        <v>0.3505154639</v>
      </c>
      <c r="F93" s="19">
        <f t="shared" si="16"/>
        <v>0.07216494845</v>
      </c>
      <c r="G93" s="19">
        <f t="shared" si="16"/>
        <v>0.0206185567</v>
      </c>
      <c r="H93" s="19">
        <f t="shared" si="16"/>
        <v>0.1237113402</v>
      </c>
      <c r="I93" s="19"/>
    </row>
    <row r="94" ht="22.5" customHeight="1">
      <c r="A94" s="18" t="s">
        <v>1541</v>
      </c>
      <c r="B94" s="23">
        <f t="shared" ref="B94:B95" si="18">B92</f>
        <v>7</v>
      </c>
      <c r="C94" s="23">
        <f t="shared" ref="C94:H94" si="17">B94+C92</f>
        <v>33</v>
      </c>
      <c r="D94" s="23">
        <f t="shared" si="17"/>
        <v>42</v>
      </c>
      <c r="E94" s="23">
        <f t="shared" si="17"/>
        <v>76</v>
      </c>
      <c r="F94" s="23">
        <f t="shared" si="17"/>
        <v>83</v>
      </c>
      <c r="G94" s="23">
        <f t="shared" si="17"/>
        <v>85</v>
      </c>
      <c r="H94" s="23">
        <f t="shared" si="17"/>
        <v>97</v>
      </c>
      <c r="I94" s="19"/>
    </row>
    <row r="95" ht="22.5" customHeight="1">
      <c r="A95" s="18" t="s">
        <v>1542</v>
      </c>
      <c r="B95" s="19">
        <f t="shared" si="18"/>
        <v>0.07216494845</v>
      </c>
      <c r="C95" s="19">
        <f t="shared" ref="C95:H95" si="19">C93+B95</f>
        <v>0.3402061856</v>
      </c>
      <c r="D95" s="19">
        <f t="shared" si="19"/>
        <v>0.4329896907</v>
      </c>
      <c r="E95" s="19">
        <f t="shared" si="19"/>
        <v>0.7835051546</v>
      </c>
      <c r="F95" s="19">
        <f t="shared" si="19"/>
        <v>0.8556701031</v>
      </c>
      <c r="G95" s="19">
        <f t="shared" si="19"/>
        <v>0.8762886598</v>
      </c>
      <c r="H95" s="19">
        <f t="shared" si="19"/>
        <v>1</v>
      </c>
      <c r="I95" s="22"/>
    </row>
    <row r="96">
      <c r="A96" s="27"/>
    </row>
    <row r="97" ht="22.5" customHeight="1">
      <c r="A97" s="29" t="s">
        <v>1547</v>
      </c>
      <c r="B97" s="15" t="s">
        <v>1548</v>
      </c>
      <c r="C97" s="15" t="s">
        <v>1549</v>
      </c>
      <c r="D97" s="15" t="s">
        <v>1550</v>
      </c>
      <c r="E97" s="15" t="s">
        <v>1551</v>
      </c>
      <c r="F97" s="15" t="s">
        <v>1552</v>
      </c>
      <c r="G97" s="15" t="s">
        <v>1553</v>
      </c>
      <c r="H97" s="15" t="s">
        <v>1554</v>
      </c>
    </row>
    <row r="98" ht="22.5" customHeight="1">
      <c r="A98" s="30" t="s">
        <v>1555</v>
      </c>
      <c r="B98" s="31">
        <f t="shared" ref="B98:H98" si="20">B90-B81</f>
        <v>-0.05977326493</v>
      </c>
      <c r="C98" s="31">
        <f t="shared" si="20"/>
        <v>0.1561397324</v>
      </c>
      <c r="D98" s="31">
        <f t="shared" si="20"/>
        <v>-0.04744573337</v>
      </c>
      <c r="E98" s="31">
        <f t="shared" si="20"/>
        <v>0.07604342911</v>
      </c>
      <c r="F98" s="31">
        <f t="shared" si="20"/>
        <v>-0.02822846492</v>
      </c>
      <c r="G98" s="31">
        <f t="shared" si="20"/>
        <v>-0.002067633894</v>
      </c>
      <c r="H98" s="31">
        <f t="shared" si="20"/>
        <v>-0.09466806441</v>
      </c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</sheetData>
  <dataValidations>
    <dataValidation type="custom" allowBlank="1" showDropDown="1" sqref="B98:H98">
      <formula1>AND(ISNUMBER(B98),(NOT(OR(NOT(ISERROR(DATEVALUE(B98))), AND(ISNUMBER(B98), LEFT(CELL("format", B98))="D")))))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81.5"/>
    <col customWidth="1" min="3" max="4" width="18.13"/>
    <col customWidth="1" min="5" max="5" width="12.25"/>
    <col customWidth="1" min="6" max="6" width="128.75"/>
    <col customWidth="1" min="7" max="8" width="18.13"/>
    <col customWidth="1" min="9" max="9" width="12.25"/>
    <col customWidth="1" min="10" max="10" width="91.25"/>
    <col customWidth="1" min="11" max="11" width="18.13"/>
    <col customWidth="1" min="12" max="12" width="128.75"/>
    <col customWidth="1" min="16" max="16" width="128.75"/>
    <col customWidth="1" min="20" max="20" width="116.63"/>
    <col customWidth="1" min="24" max="24" width="128.75"/>
    <col customWidth="1" min="28" max="28" width="97.88"/>
  </cols>
  <sheetData>
    <row r="1"/>
    <row r="2">
      <c r="P2" s="4"/>
      <c r="AD2" s="4"/>
    </row>
    <row r="3">
      <c r="P3" s="4"/>
      <c r="AD3" s="4"/>
    </row>
    <row r="4">
      <c r="P4" s="4"/>
      <c r="AD4" s="4"/>
    </row>
    <row r="5">
      <c r="P5" s="4"/>
      <c r="AD5" s="4"/>
    </row>
    <row r="6">
      <c r="P6" s="4"/>
      <c r="AD6" s="4"/>
    </row>
    <row r="7">
      <c r="P7" s="4"/>
      <c r="AD7" s="4"/>
    </row>
    <row r="8">
      <c r="P8" s="4"/>
      <c r="AD8" s="4"/>
    </row>
    <row r="9">
      <c r="P9" s="4"/>
      <c r="AD9" s="4"/>
    </row>
    <row r="10">
      <c r="P10" s="4"/>
      <c r="AD10" s="4"/>
    </row>
    <row r="11">
      <c r="G11" s="4"/>
      <c r="H11" s="4"/>
      <c r="P11" s="4"/>
      <c r="AD11" s="4"/>
    </row>
    <row r="12">
      <c r="P12" s="4"/>
      <c r="AD12" s="4"/>
    </row>
    <row r="13">
      <c r="P13" s="4"/>
      <c r="AD13" s="4"/>
    </row>
    <row r="14">
      <c r="P14" s="4"/>
      <c r="AD14" s="4"/>
    </row>
    <row r="15">
      <c r="P15" s="4"/>
      <c r="AD15" s="4"/>
    </row>
    <row r="16">
      <c r="P16" s="4"/>
      <c r="AD16" s="4"/>
    </row>
    <row r="17">
      <c r="G17" s="4"/>
      <c r="H17" s="4"/>
      <c r="P17" s="4"/>
      <c r="AD17" s="4"/>
    </row>
    <row r="18">
      <c r="P18" s="4"/>
      <c r="AD18" s="4"/>
    </row>
    <row r="19">
      <c r="P19" s="4"/>
      <c r="AD19" s="4"/>
    </row>
    <row r="20">
      <c r="P20" s="4"/>
      <c r="AD20" s="4"/>
    </row>
    <row r="21">
      <c r="P21" s="4"/>
      <c r="AD21" s="4"/>
    </row>
    <row r="22">
      <c r="P22" s="4"/>
      <c r="AD22" s="4"/>
    </row>
    <row r="23">
      <c r="P23" s="4"/>
      <c r="AD23" s="4"/>
    </row>
    <row r="24">
      <c r="P24" s="4"/>
      <c r="AD24" s="4"/>
    </row>
    <row r="25">
      <c r="K25" s="4"/>
      <c r="L25" s="4"/>
      <c r="AD25" s="4"/>
    </row>
    <row r="26">
      <c r="K26" s="4"/>
      <c r="L26" s="4"/>
      <c r="AD26" s="4"/>
    </row>
    <row r="27">
      <c r="K27" s="4"/>
      <c r="L27" s="4"/>
      <c r="AD27" s="4"/>
    </row>
    <row r="28">
      <c r="K28" s="4"/>
      <c r="L28" s="4"/>
    </row>
    <row r="29">
      <c r="K29" s="4"/>
      <c r="L29" s="4"/>
    </row>
    <row r="30">
      <c r="K30" s="4"/>
      <c r="L30" s="4"/>
      <c r="AD30" s="4"/>
    </row>
    <row r="31">
      <c r="K31" s="4"/>
      <c r="L31" s="4"/>
      <c r="AD31" s="4"/>
    </row>
    <row r="32">
      <c r="G32" s="4"/>
      <c r="H32" s="4"/>
      <c r="K32" s="4"/>
      <c r="L32" s="4"/>
      <c r="AD32" s="4"/>
    </row>
    <row r="33">
      <c r="K33" s="4"/>
      <c r="L33" s="4"/>
      <c r="AD33" s="4"/>
    </row>
    <row r="34">
      <c r="K34" s="4"/>
      <c r="L34" s="4"/>
      <c r="AD34" s="4"/>
    </row>
    <row r="35">
      <c r="K35" s="4"/>
      <c r="L35" s="4"/>
      <c r="AD35" s="4"/>
    </row>
    <row r="36">
      <c r="K36" s="4"/>
      <c r="L36" s="4"/>
    </row>
    <row r="37">
      <c r="K37" s="4"/>
      <c r="L37" s="4"/>
    </row>
    <row r="38">
      <c r="K38" s="4"/>
      <c r="L38" s="4"/>
      <c r="AD38" s="4"/>
    </row>
    <row r="39">
      <c r="K39" s="4"/>
      <c r="L39" s="4"/>
      <c r="AD39" s="4"/>
    </row>
    <row r="40">
      <c r="K40" s="4"/>
      <c r="L40" s="4"/>
      <c r="AD40" s="4"/>
    </row>
    <row r="41">
      <c r="K41" s="4"/>
      <c r="L41" s="4"/>
      <c r="AD41" s="4"/>
    </row>
    <row r="42">
      <c r="K42" s="4"/>
      <c r="L42" s="4"/>
      <c r="AD42" s="4"/>
    </row>
    <row r="43">
      <c r="B43" s="7"/>
      <c r="C43" s="4"/>
      <c r="D43" s="4"/>
      <c r="K43" s="4"/>
      <c r="L43" s="4"/>
      <c r="AD43" s="4"/>
    </row>
    <row r="44">
      <c r="B44" s="7"/>
      <c r="C44" s="4"/>
      <c r="D44" s="4"/>
      <c r="K44" s="4"/>
      <c r="L44" s="4"/>
      <c r="AD44" s="4"/>
    </row>
    <row r="45">
      <c r="B45" s="7"/>
      <c r="C45" s="4"/>
      <c r="D45" s="4"/>
      <c r="K45" s="4"/>
      <c r="L45" s="4"/>
      <c r="AD45" s="4"/>
    </row>
    <row r="46">
      <c r="B46" s="7"/>
      <c r="C46" s="4"/>
      <c r="D46" s="4"/>
      <c r="G46" s="4"/>
      <c r="H46" s="4"/>
      <c r="K46" s="4"/>
      <c r="L46" s="4"/>
      <c r="AD46" s="4"/>
    </row>
    <row r="47">
      <c r="B47" s="7"/>
      <c r="C47" s="4"/>
      <c r="D47" s="4"/>
      <c r="G47" s="4"/>
      <c r="H47" s="4"/>
      <c r="K47" s="4"/>
      <c r="L47" s="4"/>
      <c r="AD47" s="4"/>
    </row>
    <row r="48">
      <c r="B48" s="7"/>
      <c r="G48" s="4"/>
      <c r="H48" s="4"/>
      <c r="K48" s="4"/>
      <c r="L48" s="4"/>
      <c r="AD48" s="4"/>
    </row>
    <row r="49">
      <c r="B49" s="8"/>
      <c r="C49" s="4"/>
      <c r="D49" s="4"/>
      <c r="G49" s="4"/>
      <c r="H49" s="4"/>
      <c r="K49" s="4"/>
      <c r="L49" s="4"/>
      <c r="AD49" s="4"/>
    </row>
    <row r="50">
      <c r="B50" s="8"/>
      <c r="C50" s="4"/>
      <c r="D50" s="4"/>
      <c r="G50" s="4"/>
      <c r="H50" s="4"/>
      <c r="K50" s="4"/>
      <c r="L50" s="4"/>
      <c r="AD50" s="4"/>
    </row>
    <row r="51">
      <c r="B51" s="8"/>
      <c r="C51" s="4"/>
      <c r="D51" s="4"/>
      <c r="K51" s="4"/>
      <c r="L51" s="4"/>
      <c r="AD51" s="4"/>
    </row>
    <row r="52">
      <c r="B52" s="8"/>
      <c r="C52" s="4"/>
      <c r="D52" s="4"/>
      <c r="G52" s="4"/>
      <c r="H52" s="4"/>
      <c r="K52" s="4"/>
      <c r="L52" s="4"/>
      <c r="AD52" s="4"/>
    </row>
    <row r="53">
      <c r="B53" s="8"/>
      <c r="C53" s="4"/>
      <c r="D53" s="4"/>
      <c r="G53" s="4"/>
      <c r="H53" s="4"/>
      <c r="K53" s="4"/>
      <c r="L53" s="4"/>
      <c r="AD53" s="4"/>
    </row>
    <row r="54">
      <c r="B54" s="8"/>
      <c r="C54" s="4"/>
      <c r="D54" s="4"/>
      <c r="G54" s="4"/>
      <c r="H54" s="4"/>
      <c r="K54" s="4"/>
      <c r="L54" s="4"/>
      <c r="AD54" s="4"/>
    </row>
    <row r="55">
      <c r="B55" s="8"/>
      <c r="C55" s="4"/>
      <c r="D55" s="4"/>
      <c r="G55" s="4"/>
      <c r="H55" s="4"/>
      <c r="K55" s="4"/>
      <c r="L55" s="4"/>
      <c r="AD55" s="4"/>
    </row>
    <row r="56">
      <c r="B56" s="8"/>
      <c r="C56" s="4"/>
      <c r="D56" s="4"/>
      <c r="G56" s="4"/>
      <c r="H56" s="4"/>
      <c r="K56" s="4"/>
      <c r="L56" s="4"/>
      <c r="AD56" s="4"/>
    </row>
    <row r="57">
      <c r="B57" s="8"/>
      <c r="C57" s="4"/>
      <c r="D57" s="4"/>
      <c r="G57" s="4"/>
      <c r="H57" s="4"/>
      <c r="K57" s="4"/>
      <c r="L57" s="4"/>
      <c r="AD57" s="4"/>
    </row>
    <row r="58">
      <c r="B58" s="8"/>
      <c r="C58" s="4"/>
      <c r="D58" s="4"/>
      <c r="G58" s="4"/>
      <c r="H58" s="4"/>
      <c r="K58" s="4"/>
      <c r="L58" s="4"/>
      <c r="AD58" s="4"/>
    </row>
    <row r="59">
      <c r="B59" s="8"/>
      <c r="C59" s="4"/>
      <c r="D59" s="4"/>
      <c r="G59" s="4"/>
      <c r="H59" s="4"/>
      <c r="L59" s="4"/>
      <c r="AD59" s="4"/>
    </row>
    <row r="60">
      <c r="B60" s="8"/>
      <c r="C60" s="4"/>
      <c r="D60" s="4"/>
      <c r="G60" s="4"/>
      <c r="H60" s="4"/>
      <c r="L60" s="4"/>
      <c r="AD60" s="4"/>
    </row>
    <row r="61">
      <c r="B61" s="8"/>
      <c r="C61" s="4"/>
      <c r="D61" s="4"/>
      <c r="G61" s="4"/>
      <c r="H61" s="4"/>
      <c r="L61" s="4"/>
      <c r="AD61" s="4"/>
    </row>
    <row r="62">
      <c r="B62" s="8"/>
      <c r="C62" s="4"/>
      <c r="D62" s="4"/>
      <c r="G62" s="4"/>
      <c r="H62" s="4"/>
      <c r="L62" s="4"/>
    </row>
    <row r="63">
      <c r="B63" s="8"/>
      <c r="C63" s="4"/>
      <c r="D63" s="4"/>
      <c r="G63" s="4"/>
      <c r="H63" s="4"/>
      <c r="L63" s="4"/>
    </row>
    <row r="64">
      <c r="B64" s="8"/>
      <c r="C64" s="4"/>
      <c r="D64" s="4"/>
      <c r="G64" s="4"/>
      <c r="H64" s="4"/>
      <c r="L64" s="4"/>
    </row>
    <row r="65">
      <c r="B65" s="8"/>
      <c r="C65" s="4"/>
      <c r="D65" s="4"/>
      <c r="G65" s="4"/>
      <c r="H65" s="4"/>
      <c r="L65" s="4"/>
    </row>
    <row r="66">
      <c r="B66" s="8"/>
      <c r="C66" s="4"/>
      <c r="D66" s="4"/>
      <c r="G66" s="4"/>
      <c r="H66" s="4"/>
      <c r="J66" s="4"/>
      <c r="N66" s="4"/>
      <c r="V66" s="4"/>
    </row>
    <row r="67">
      <c r="B67" s="8"/>
      <c r="C67" s="4"/>
      <c r="D67" s="4"/>
      <c r="G67" s="4"/>
      <c r="H67" s="4"/>
      <c r="J67" s="4"/>
      <c r="N67" s="4"/>
      <c r="V67" s="4"/>
    </row>
    <row r="68">
      <c r="B68" s="8"/>
      <c r="C68" s="4"/>
      <c r="D68" s="4"/>
      <c r="G68" s="4"/>
      <c r="H68" s="4"/>
      <c r="J68" s="4"/>
      <c r="N68" s="4"/>
      <c r="V68" s="4"/>
    </row>
    <row r="69">
      <c r="B69" s="8"/>
      <c r="C69" s="4"/>
      <c r="D69" s="4"/>
      <c r="G69" s="4"/>
      <c r="H69" s="4"/>
      <c r="J69" s="4"/>
      <c r="N69" s="4"/>
      <c r="V69" s="4"/>
    </row>
    <row r="70">
      <c r="B70" s="8"/>
      <c r="C70" s="4"/>
      <c r="D70" s="4"/>
      <c r="G70" s="4"/>
      <c r="H70" s="4"/>
      <c r="J70" s="4"/>
      <c r="N70" s="4"/>
      <c r="V70" s="4"/>
    </row>
    <row r="71">
      <c r="B71" s="8"/>
      <c r="C71" s="4"/>
      <c r="D71" s="4"/>
      <c r="G71" s="4"/>
      <c r="H71" s="4"/>
      <c r="J71" s="4"/>
      <c r="N71" s="4"/>
      <c r="V71" s="4"/>
    </row>
    <row r="72">
      <c r="B72" s="8"/>
      <c r="C72" s="4"/>
      <c r="D72" s="4"/>
      <c r="G72" s="4"/>
      <c r="H72" s="4"/>
      <c r="J72" s="4"/>
      <c r="N72" s="4"/>
      <c r="V72" s="4"/>
    </row>
    <row r="73">
      <c r="B73" s="8"/>
      <c r="C73" s="4"/>
      <c r="D73" s="4"/>
      <c r="G73" s="4"/>
      <c r="H73" s="4"/>
      <c r="J73" s="4"/>
      <c r="N73" s="4"/>
    </row>
    <row r="74">
      <c r="B74" s="8"/>
      <c r="C74" s="4"/>
      <c r="D74" s="4"/>
      <c r="G74" s="4"/>
      <c r="H74" s="4"/>
      <c r="J74" s="4"/>
      <c r="N74" s="4"/>
    </row>
    <row r="75">
      <c r="B75" s="8"/>
      <c r="G75" s="4"/>
      <c r="H75" s="4"/>
      <c r="J75" s="4"/>
      <c r="N75" s="4"/>
    </row>
    <row r="76">
      <c r="B76" s="8"/>
      <c r="G76" s="4"/>
      <c r="H76" s="4"/>
      <c r="J76" s="4"/>
      <c r="N76" s="4"/>
    </row>
    <row r="77">
      <c r="B77" s="4"/>
      <c r="J77" s="4"/>
      <c r="N77" s="4"/>
    </row>
    <row r="78">
      <c r="A78" s="2" t="str">
        <f>B47+B74+F72+F50+F24+F17+J58</f>
        <v>#VALUE!</v>
      </c>
      <c r="B78" s="4"/>
      <c r="J78" s="4"/>
      <c r="N78" s="4"/>
    </row>
    <row r="79">
      <c r="B79" s="4"/>
      <c r="J79" s="4"/>
      <c r="N79" s="4"/>
    </row>
    <row r="80">
      <c r="B80" s="4"/>
      <c r="J80" s="4"/>
      <c r="N80" s="4"/>
    </row>
    <row r="81">
      <c r="B81" s="4"/>
      <c r="J81" s="4"/>
      <c r="N81" s="4"/>
    </row>
    <row r="82">
      <c r="B82" s="4"/>
      <c r="J82" s="4"/>
      <c r="N82" s="4"/>
    </row>
    <row r="83">
      <c r="B83" s="4"/>
      <c r="J83" s="4"/>
      <c r="N83" s="4"/>
    </row>
    <row r="84">
      <c r="B84" s="4"/>
      <c r="J84" s="4"/>
      <c r="N84" s="4"/>
    </row>
    <row r="85">
      <c r="B85" s="4"/>
      <c r="J85" s="4"/>
      <c r="N85" s="4"/>
    </row>
    <row r="86">
      <c r="B86" s="4"/>
      <c r="J86" s="4"/>
      <c r="N86" s="4"/>
    </row>
    <row r="87">
      <c r="B87" s="4"/>
      <c r="J87" s="4"/>
      <c r="N87" s="4"/>
    </row>
    <row r="88">
      <c r="B88" s="4"/>
      <c r="J88" s="4"/>
      <c r="N88" s="4"/>
    </row>
    <row r="89">
      <c r="B89" s="4"/>
      <c r="J89" s="4"/>
      <c r="N89" s="4"/>
    </row>
    <row r="90">
      <c r="B90" s="4"/>
      <c r="J90" s="4"/>
      <c r="N90" s="4"/>
    </row>
    <row r="91">
      <c r="B91" s="4"/>
      <c r="J91" s="4"/>
      <c r="N91" s="4"/>
    </row>
    <row r="92">
      <c r="B92" s="4"/>
      <c r="J92" s="4"/>
      <c r="N92" s="4"/>
    </row>
    <row r="93">
      <c r="B93" s="4"/>
      <c r="J93" s="4"/>
      <c r="N93" s="4"/>
    </row>
    <row r="94">
      <c r="B94" s="4"/>
      <c r="J94" s="4"/>
      <c r="N94" s="4"/>
    </row>
    <row r="95">
      <c r="B95" s="4"/>
      <c r="J95" s="4"/>
      <c r="N95" s="4"/>
    </row>
    <row r="96">
      <c r="B96" s="4"/>
      <c r="J96" s="4"/>
      <c r="N96" s="4"/>
    </row>
    <row r="97">
      <c r="B97" s="4"/>
      <c r="J97" s="4"/>
      <c r="N97" s="4"/>
    </row>
    <row r="98">
      <c r="B98" s="4"/>
      <c r="J98" s="4"/>
      <c r="N98" s="4"/>
    </row>
    <row r="99">
      <c r="B99" s="4"/>
      <c r="J99" s="4"/>
      <c r="N99" s="4"/>
    </row>
    <row r="100">
      <c r="B100" s="4"/>
      <c r="J100" s="4"/>
      <c r="N100" s="4"/>
    </row>
    <row r="101">
      <c r="B101" s="4"/>
      <c r="J101" s="4"/>
      <c r="N101" s="4"/>
    </row>
    <row r="102">
      <c r="B102" s="4"/>
      <c r="J102" s="4"/>
      <c r="N102" s="4"/>
    </row>
    <row r="103">
      <c r="B103" s="4"/>
      <c r="J103" s="4"/>
      <c r="N103" s="4"/>
    </row>
    <row r="104">
      <c r="B104" s="4"/>
      <c r="J104" s="4"/>
      <c r="N104" s="4"/>
    </row>
    <row r="105">
      <c r="B105" s="4"/>
      <c r="J105" s="4"/>
      <c r="N105" s="4"/>
    </row>
    <row r="106">
      <c r="B106" s="4"/>
      <c r="J106" s="4"/>
      <c r="N106" s="4"/>
    </row>
    <row r="107">
      <c r="B107" s="4"/>
      <c r="J107" s="4"/>
      <c r="N107" s="4"/>
    </row>
    <row r="108">
      <c r="B108" s="4"/>
      <c r="J108" s="4"/>
      <c r="N108" s="4"/>
    </row>
    <row r="109">
      <c r="B109" s="4"/>
      <c r="J109" s="4"/>
      <c r="N109" s="4"/>
    </row>
    <row r="110">
      <c r="B110" s="4"/>
      <c r="J110" s="4"/>
      <c r="N110" s="4"/>
    </row>
    <row r="111">
      <c r="B111" s="4"/>
      <c r="J111" s="4"/>
      <c r="N111" s="4"/>
    </row>
    <row r="112">
      <c r="B112" s="4"/>
      <c r="J112" s="4"/>
      <c r="N112" s="4"/>
    </row>
    <row r="113">
      <c r="B113" s="4"/>
      <c r="J113" s="4"/>
      <c r="N113" s="4"/>
    </row>
    <row r="114">
      <c r="B114" s="4"/>
      <c r="J114" s="4"/>
      <c r="N114" s="4"/>
    </row>
    <row r="115">
      <c r="B115" s="4"/>
      <c r="J115" s="4"/>
      <c r="N115" s="4"/>
    </row>
    <row r="116">
      <c r="B116" s="4"/>
      <c r="J116" s="4"/>
      <c r="N116" s="4"/>
    </row>
    <row r="117">
      <c r="B117" s="4"/>
      <c r="J117" s="4"/>
      <c r="N117" s="4"/>
    </row>
    <row r="118">
      <c r="B118" s="4"/>
      <c r="J118" s="4"/>
      <c r="N118" s="4"/>
    </row>
    <row r="119">
      <c r="B119" s="4"/>
      <c r="J119" s="4"/>
      <c r="N119" s="4"/>
    </row>
    <row r="120">
      <c r="B120" s="4"/>
      <c r="J120" s="4"/>
      <c r="N120" s="4"/>
    </row>
    <row r="121">
      <c r="B121" s="4"/>
      <c r="J121" s="4"/>
      <c r="N121" s="4"/>
    </row>
    <row r="122">
      <c r="B122" s="4"/>
      <c r="J122" s="4"/>
      <c r="N122" s="4"/>
    </row>
    <row r="123">
      <c r="B123" s="4"/>
      <c r="J123" s="4"/>
      <c r="N123" s="4"/>
    </row>
    <row r="124">
      <c r="B124" s="4"/>
      <c r="J124" s="4"/>
      <c r="N124" s="4"/>
    </row>
    <row r="125">
      <c r="B125" s="4"/>
      <c r="J125" s="4"/>
      <c r="N125" s="4"/>
    </row>
    <row r="126">
      <c r="B126" s="4"/>
      <c r="J126" s="4"/>
      <c r="N126" s="4"/>
    </row>
    <row r="127">
      <c r="B127" s="4"/>
      <c r="J127" s="4"/>
      <c r="N127" s="4"/>
    </row>
    <row r="128">
      <c r="B128" s="4"/>
      <c r="J128" s="4"/>
      <c r="N128" s="4"/>
    </row>
    <row r="129">
      <c r="B129" s="4"/>
      <c r="J129" s="4"/>
      <c r="N129" s="4"/>
    </row>
    <row r="130">
      <c r="B130" s="4"/>
      <c r="J130" s="4"/>
      <c r="N130" s="4"/>
    </row>
    <row r="131">
      <c r="B131" s="4"/>
      <c r="J131" s="4"/>
      <c r="N131" s="4"/>
    </row>
    <row r="132">
      <c r="B132" s="4"/>
      <c r="J132" s="4"/>
      <c r="N132" s="4"/>
    </row>
    <row r="133">
      <c r="B133" s="4"/>
      <c r="J133" s="4"/>
      <c r="N133" s="4"/>
    </row>
    <row r="134">
      <c r="B134" s="4"/>
      <c r="J134" s="4"/>
      <c r="N134" s="4"/>
    </row>
    <row r="135">
      <c r="B135" s="4"/>
      <c r="J135" s="4"/>
      <c r="N135" s="4"/>
    </row>
    <row r="136">
      <c r="B136" s="4"/>
      <c r="J136" s="4"/>
      <c r="N136" s="4"/>
    </row>
    <row r="137">
      <c r="B137" s="4"/>
      <c r="J137" s="4"/>
      <c r="N137" s="4"/>
    </row>
    <row r="138">
      <c r="B138" s="4"/>
      <c r="J138" s="4"/>
      <c r="N138" s="4"/>
    </row>
    <row r="139">
      <c r="B139" s="4"/>
      <c r="J139" s="4"/>
      <c r="N139" s="4"/>
    </row>
    <row r="140">
      <c r="B140" s="4"/>
      <c r="J140" s="4"/>
      <c r="N140" s="4"/>
    </row>
    <row r="141">
      <c r="B141" s="4"/>
      <c r="J141" s="4"/>
      <c r="N141" s="4"/>
    </row>
    <row r="142">
      <c r="B142" s="4"/>
      <c r="J142" s="4"/>
      <c r="N142" s="4"/>
    </row>
    <row r="143">
      <c r="B143" s="4"/>
      <c r="J143" s="4"/>
      <c r="N143" s="4"/>
    </row>
    <row r="144">
      <c r="B144" s="4"/>
      <c r="J144" s="4"/>
      <c r="N144" s="4"/>
    </row>
    <row r="145">
      <c r="B145" s="4"/>
      <c r="J145" s="4"/>
      <c r="N145" s="4"/>
    </row>
    <row r="146">
      <c r="B146" s="4"/>
      <c r="J146" s="4"/>
      <c r="N146" s="4"/>
    </row>
    <row r="147">
      <c r="B147" s="4"/>
      <c r="J147" s="4"/>
      <c r="N147" s="4"/>
    </row>
    <row r="148">
      <c r="B148" s="4"/>
      <c r="N148" s="4"/>
    </row>
    <row r="149">
      <c r="B149" s="4"/>
      <c r="N149" s="4"/>
    </row>
    <row r="150">
      <c r="B150" s="4"/>
      <c r="N150" s="4"/>
    </row>
    <row r="151">
      <c r="B151" s="4"/>
      <c r="N151" s="4"/>
    </row>
    <row r="152">
      <c r="B152" s="4"/>
      <c r="N152" s="4"/>
    </row>
    <row r="153">
      <c r="B153" s="4"/>
      <c r="N153" s="4"/>
    </row>
    <row r="154">
      <c r="B154" s="4"/>
      <c r="N154" s="4"/>
    </row>
    <row r="155">
      <c r="B155" s="4"/>
      <c r="N155" s="4"/>
    </row>
    <row r="156">
      <c r="B156" s="4"/>
      <c r="N156" s="4"/>
    </row>
    <row r="157">
      <c r="B157" s="4"/>
      <c r="N157" s="4"/>
    </row>
    <row r="158">
      <c r="B158" s="4"/>
      <c r="N158" s="4"/>
    </row>
    <row r="159">
      <c r="B159" s="4"/>
      <c r="N159" s="4"/>
    </row>
    <row r="160">
      <c r="B160" s="4"/>
      <c r="N160" s="4"/>
    </row>
    <row r="161">
      <c r="B161" s="4"/>
      <c r="N161" s="4"/>
    </row>
    <row r="162">
      <c r="B162" s="4"/>
      <c r="N162" s="4"/>
    </row>
    <row r="163">
      <c r="B163" s="4"/>
      <c r="N163" s="4"/>
    </row>
    <row r="164">
      <c r="B164" s="4"/>
      <c r="N164" s="4"/>
    </row>
    <row r="165">
      <c r="B165" s="4"/>
      <c r="N165" s="4"/>
    </row>
    <row r="166">
      <c r="B166" s="4"/>
      <c r="N166" s="4"/>
    </row>
    <row r="167">
      <c r="B167" s="4"/>
      <c r="N167" s="4"/>
    </row>
    <row r="168">
      <c r="B168" s="4"/>
      <c r="N168" s="4"/>
    </row>
    <row r="169">
      <c r="B169" s="4"/>
      <c r="N169" s="4"/>
    </row>
    <row r="170">
      <c r="B170" s="4"/>
      <c r="N170" s="4"/>
    </row>
    <row r="171">
      <c r="B171" s="4"/>
      <c r="N171" s="4"/>
    </row>
    <row r="172">
      <c r="B172" s="4"/>
      <c r="N172" s="4"/>
    </row>
    <row r="173">
      <c r="B173" s="4"/>
      <c r="N173" s="4"/>
    </row>
    <row r="174">
      <c r="B174" s="4"/>
      <c r="N174" s="4"/>
    </row>
    <row r="175">
      <c r="B175" s="4"/>
      <c r="N175" s="4"/>
    </row>
    <row r="176">
      <c r="B176" s="4"/>
      <c r="N176" s="4"/>
    </row>
    <row r="177">
      <c r="B177" s="4"/>
      <c r="N177" s="4"/>
    </row>
    <row r="178">
      <c r="B178" s="4"/>
      <c r="N178" s="4"/>
    </row>
    <row r="179">
      <c r="B179" s="4"/>
      <c r="N179" s="4"/>
    </row>
    <row r="180">
      <c r="B180" s="4"/>
      <c r="N180" s="4"/>
    </row>
    <row r="181">
      <c r="B181" s="4"/>
      <c r="N181" s="4"/>
    </row>
    <row r="182">
      <c r="B182" s="4"/>
      <c r="N182" s="4"/>
    </row>
    <row r="183">
      <c r="B183" s="4"/>
      <c r="N183" s="4"/>
    </row>
    <row r="184">
      <c r="B184" s="4"/>
      <c r="N184" s="4"/>
    </row>
    <row r="185">
      <c r="B185" s="4"/>
      <c r="N185" s="4"/>
    </row>
    <row r="186">
      <c r="B186" s="4"/>
      <c r="N186" s="4"/>
    </row>
    <row r="187">
      <c r="B187" s="4"/>
      <c r="N187" s="4"/>
    </row>
    <row r="188">
      <c r="B188" s="4"/>
      <c r="N188" s="4"/>
    </row>
    <row r="189">
      <c r="B189" s="4"/>
      <c r="N189" s="4"/>
    </row>
    <row r="190">
      <c r="B190" s="4"/>
      <c r="N190" s="4"/>
    </row>
    <row r="191">
      <c r="B191" s="4"/>
      <c r="N191" s="4"/>
    </row>
    <row r="192">
      <c r="B192" s="4"/>
      <c r="N192" s="4"/>
    </row>
  </sheetData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81.5"/>
    <col customWidth="1" min="3" max="4" width="18.13"/>
    <col customWidth="1" min="5" max="5" width="12.25"/>
    <col customWidth="1" min="6" max="6" width="128.75"/>
    <col customWidth="1" min="7" max="8" width="18.13"/>
    <col customWidth="1" min="9" max="9" width="12.25"/>
    <col customWidth="1" min="10" max="10" width="91.25"/>
    <col customWidth="1" min="11" max="12" width="18.13"/>
    <col customWidth="1" min="16" max="16" width="128.75"/>
    <col customWidth="1" min="20" max="20" width="116.63"/>
    <col customWidth="1" min="24" max="24" width="128.75"/>
    <col customWidth="1" min="28" max="28" width="97.88"/>
  </cols>
  <sheetData>
    <row r="1"/>
    <row r="2">
      <c r="P2" s="4"/>
      <c r="AD2" s="4"/>
    </row>
    <row r="3">
      <c r="P3" s="4"/>
      <c r="AD3" s="4"/>
    </row>
    <row r="4">
      <c r="P4" s="4"/>
      <c r="AD4" s="4"/>
    </row>
    <row r="5">
      <c r="P5" s="4"/>
      <c r="AD5" s="4"/>
    </row>
    <row r="6">
      <c r="P6" s="4"/>
      <c r="AD6" s="4"/>
    </row>
    <row r="7">
      <c r="P7" s="4"/>
      <c r="AD7" s="4"/>
    </row>
    <row r="8">
      <c r="P8" s="4"/>
      <c r="AD8" s="4"/>
    </row>
    <row r="9">
      <c r="P9" s="4"/>
      <c r="AD9" s="4"/>
    </row>
    <row r="10">
      <c r="P10" s="4"/>
      <c r="AD10" s="4"/>
    </row>
    <row r="11">
      <c r="P11" s="4"/>
      <c r="AD11" s="4"/>
    </row>
    <row r="12">
      <c r="P12" s="4"/>
      <c r="AD12" s="4"/>
    </row>
    <row r="13">
      <c r="P13" s="4"/>
      <c r="AD13" s="4"/>
    </row>
    <row r="14">
      <c r="P14" s="4"/>
      <c r="AD14" s="4"/>
    </row>
    <row r="15">
      <c r="P15" s="4"/>
      <c r="AD15" s="4"/>
    </row>
    <row r="16">
      <c r="P16" s="4"/>
      <c r="AD16" s="4"/>
    </row>
    <row r="17">
      <c r="P17" s="4"/>
      <c r="AD17" s="4"/>
    </row>
    <row r="18">
      <c r="P18" s="4"/>
      <c r="AD18" s="4"/>
    </row>
    <row r="19">
      <c r="P19" s="4"/>
      <c r="AD19" s="4"/>
    </row>
    <row r="20">
      <c r="P20" s="4"/>
      <c r="AD20" s="4"/>
    </row>
    <row r="21">
      <c r="P21" s="4"/>
      <c r="AD21" s="4"/>
    </row>
    <row r="22">
      <c r="P22" s="4"/>
      <c r="AD22" s="4"/>
    </row>
    <row r="23">
      <c r="P23" s="4"/>
      <c r="AD23" s="4"/>
    </row>
    <row r="24">
      <c r="P24" s="4"/>
      <c r="AD24" s="4"/>
    </row>
    <row r="25">
      <c r="AD25" s="4"/>
    </row>
    <row r="26">
      <c r="AD26" s="4"/>
    </row>
    <row r="27">
      <c r="AD27" s="4"/>
    </row>
    <row r="28"/>
    <row r="29"/>
    <row r="30">
      <c r="AD30" s="4"/>
    </row>
    <row r="31">
      <c r="AD31" s="4"/>
    </row>
    <row r="32">
      <c r="AD32" s="4"/>
    </row>
    <row r="33">
      <c r="AD33" s="4"/>
    </row>
    <row r="34">
      <c r="AD34" s="4"/>
    </row>
    <row r="35">
      <c r="AD35" s="4"/>
    </row>
    <row r="36"/>
    <row r="37">
      <c r="K37" s="4"/>
      <c r="L37" s="4"/>
    </row>
    <row r="38">
      <c r="B38" s="32"/>
      <c r="C38" s="7"/>
      <c r="D38" s="4"/>
      <c r="K38" s="4"/>
      <c r="L38" s="4"/>
      <c r="AD38" s="4"/>
    </row>
    <row r="39">
      <c r="B39" s="32"/>
      <c r="C39" s="7"/>
      <c r="D39" s="4"/>
      <c r="F39" s="32"/>
      <c r="G39" s="8"/>
      <c r="H39" s="4"/>
      <c r="K39" s="4"/>
      <c r="L39" s="4"/>
      <c r="AD39" s="4"/>
    </row>
    <row r="40">
      <c r="B40" s="32"/>
      <c r="C40" s="7"/>
      <c r="D40" s="4"/>
      <c r="F40" s="32"/>
      <c r="G40" s="8"/>
      <c r="H40" s="4"/>
      <c r="K40" s="4"/>
      <c r="L40" s="4"/>
      <c r="AD40" s="4"/>
    </row>
    <row r="41">
      <c r="B41" s="32"/>
      <c r="C41" s="7"/>
      <c r="D41" s="4"/>
      <c r="F41" s="32"/>
      <c r="G41" s="8"/>
      <c r="H41" s="4"/>
      <c r="K41" s="4"/>
      <c r="L41" s="4"/>
      <c r="AD41" s="4"/>
    </row>
    <row r="42">
      <c r="B42" s="7"/>
      <c r="C42" s="7"/>
      <c r="D42" s="4"/>
      <c r="F42" s="32"/>
      <c r="G42" s="8"/>
      <c r="H42" s="4"/>
      <c r="K42" s="4"/>
      <c r="L42" s="4"/>
      <c r="AD42" s="4"/>
    </row>
    <row r="43">
      <c r="B43" s="7"/>
      <c r="C43" s="4"/>
      <c r="D43" s="4"/>
      <c r="F43" s="32"/>
      <c r="G43" s="8"/>
      <c r="H43" s="4"/>
      <c r="K43" s="4"/>
      <c r="L43" s="4"/>
      <c r="AD43" s="4"/>
    </row>
    <row r="44">
      <c r="B44" s="7"/>
      <c r="C44" s="4"/>
      <c r="D44" s="4"/>
      <c r="F44" s="32"/>
      <c r="G44" s="8"/>
      <c r="H44" s="4"/>
      <c r="K44" s="4"/>
      <c r="L44" s="4"/>
      <c r="AD44" s="4"/>
    </row>
    <row r="45">
      <c r="B45" s="7"/>
      <c r="C45" s="4"/>
      <c r="D45" s="4"/>
      <c r="G45" s="8"/>
      <c r="H45" s="4"/>
      <c r="K45" s="4"/>
      <c r="L45" s="4"/>
      <c r="AD45" s="4"/>
    </row>
    <row r="46">
      <c r="B46" s="7"/>
      <c r="C46" s="4"/>
      <c r="D46" s="4"/>
      <c r="G46" s="8"/>
      <c r="H46" s="4"/>
      <c r="K46" s="4"/>
      <c r="L46" s="4"/>
      <c r="AD46" s="4"/>
    </row>
    <row r="47">
      <c r="B47" s="7"/>
      <c r="C47" s="4"/>
      <c r="D47" s="4"/>
      <c r="G47" s="8"/>
      <c r="H47" s="4"/>
      <c r="K47" s="4"/>
      <c r="L47" s="4"/>
      <c r="AD47" s="4"/>
    </row>
    <row r="48">
      <c r="B48" s="7"/>
      <c r="G48" s="8"/>
      <c r="H48" s="4"/>
      <c r="K48" s="4"/>
      <c r="L48" s="4"/>
      <c r="AD48" s="4"/>
    </row>
    <row r="49">
      <c r="B49" s="8"/>
      <c r="C49" s="4"/>
      <c r="D49" s="4"/>
      <c r="G49" s="8"/>
      <c r="H49" s="4"/>
      <c r="K49" s="4"/>
      <c r="L49" s="4"/>
      <c r="AD49" s="4"/>
    </row>
    <row r="50">
      <c r="B50" s="8"/>
      <c r="C50" s="4"/>
      <c r="D50" s="4"/>
      <c r="G50" s="8"/>
      <c r="H50" s="4"/>
      <c r="K50" s="4"/>
      <c r="L50" s="4"/>
      <c r="AD50" s="4"/>
    </row>
    <row r="51">
      <c r="B51" s="8"/>
      <c r="C51" s="4"/>
      <c r="D51" s="4"/>
      <c r="K51" s="4"/>
      <c r="L51" s="4"/>
      <c r="AD51" s="4"/>
    </row>
    <row r="52">
      <c r="B52" s="8"/>
      <c r="C52" s="4"/>
      <c r="D52" s="4"/>
      <c r="G52" s="4"/>
      <c r="H52" s="4"/>
      <c r="K52" s="4"/>
      <c r="L52" s="4"/>
      <c r="AD52" s="4"/>
    </row>
    <row r="53">
      <c r="B53" s="8"/>
      <c r="C53" s="4"/>
      <c r="D53" s="4"/>
      <c r="G53" s="4"/>
      <c r="H53" s="4"/>
      <c r="K53" s="4"/>
      <c r="L53" s="4"/>
      <c r="AD53" s="4"/>
    </row>
    <row r="54">
      <c r="B54" s="8"/>
      <c r="C54" s="4"/>
      <c r="D54" s="4"/>
      <c r="G54" s="4"/>
      <c r="H54" s="4"/>
      <c r="K54" s="4"/>
      <c r="L54" s="4"/>
      <c r="AD54" s="4"/>
    </row>
    <row r="55">
      <c r="B55" s="8"/>
      <c r="C55" s="4"/>
      <c r="D55" s="4"/>
      <c r="G55" s="4"/>
      <c r="H55" s="4"/>
      <c r="K55" s="4"/>
      <c r="L55" s="4"/>
      <c r="AD55" s="4"/>
    </row>
    <row r="56">
      <c r="B56" s="8"/>
      <c r="C56" s="4"/>
      <c r="D56" s="4"/>
      <c r="G56" s="4"/>
      <c r="H56" s="4"/>
      <c r="K56" s="4"/>
      <c r="L56" s="4"/>
      <c r="AD56" s="4"/>
    </row>
    <row r="57">
      <c r="B57" s="8"/>
      <c r="C57" s="4"/>
      <c r="D57" s="4"/>
      <c r="G57" s="4"/>
      <c r="H57" s="4"/>
      <c r="K57" s="4"/>
      <c r="L57" s="4"/>
      <c r="AD57" s="4"/>
    </row>
    <row r="58">
      <c r="B58" s="8"/>
      <c r="C58" s="4"/>
      <c r="D58" s="4"/>
      <c r="G58" s="4"/>
      <c r="H58" s="4"/>
      <c r="K58" s="4"/>
      <c r="L58" s="4"/>
      <c r="AD58" s="4"/>
    </row>
    <row r="59">
      <c r="B59" s="8"/>
      <c r="C59" s="4"/>
      <c r="D59" s="4"/>
      <c r="G59" s="4"/>
      <c r="H59" s="4"/>
      <c r="L59" s="4"/>
      <c r="AD59" s="4"/>
    </row>
    <row r="60">
      <c r="B60" s="8"/>
      <c r="C60" s="4"/>
      <c r="D60" s="4"/>
      <c r="G60" s="4"/>
      <c r="H60" s="4"/>
      <c r="L60" s="4"/>
      <c r="AD60" s="4"/>
    </row>
    <row r="61">
      <c r="B61" s="8"/>
      <c r="C61" s="4"/>
      <c r="D61" s="4"/>
      <c r="G61" s="4"/>
      <c r="H61" s="4"/>
      <c r="L61" s="4"/>
      <c r="AD61" s="4"/>
    </row>
    <row r="62">
      <c r="B62" s="8"/>
      <c r="C62" s="4"/>
      <c r="D62" s="4"/>
      <c r="G62" s="4"/>
      <c r="H62" s="4"/>
      <c r="L62" s="4"/>
    </row>
    <row r="63">
      <c r="B63" s="8"/>
      <c r="C63" s="4"/>
      <c r="D63" s="4"/>
      <c r="G63" s="4"/>
      <c r="H63" s="4"/>
      <c r="L63" s="4"/>
    </row>
    <row r="64">
      <c r="B64" s="8"/>
      <c r="C64" s="4"/>
      <c r="D64" s="4"/>
      <c r="G64" s="4"/>
      <c r="H64" s="4"/>
      <c r="L64" s="4"/>
    </row>
    <row r="65">
      <c r="B65" s="8"/>
      <c r="C65" s="4"/>
      <c r="D65" s="4"/>
      <c r="G65" s="4"/>
      <c r="H65" s="4"/>
      <c r="L65" s="4"/>
    </row>
    <row r="66">
      <c r="B66" s="8"/>
      <c r="C66" s="4"/>
      <c r="D66" s="4"/>
      <c r="G66" s="4"/>
      <c r="H66" s="4"/>
      <c r="J66" s="4"/>
      <c r="N66" s="4"/>
      <c r="V66" s="4"/>
    </row>
    <row r="67">
      <c r="B67" s="8"/>
      <c r="C67" s="4"/>
      <c r="D67" s="4"/>
      <c r="G67" s="4"/>
      <c r="H67" s="4"/>
      <c r="J67" s="4"/>
      <c r="N67" s="4"/>
      <c r="V67" s="4"/>
    </row>
    <row r="68">
      <c r="B68" s="8"/>
      <c r="C68" s="4"/>
      <c r="D68" s="4"/>
      <c r="G68" s="4"/>
      <c r="H68" s="4"/>
      <c r="J68" s="4"/>
      <c r="N68" s="4"/>
      <c r="V68" s="4"/>
    </row>
    <row r="69">
      <c r="B69" s="8"/>
      <c r="C69" s="4"/>
      <c r="D69" s="4"/>
      <c r="G69" s="4"/>
      <c r="H69" s="4"/>
      <c r="J69" s="4"/>
      <c r="N69" s="4"/>
      <c r="V69" s="4"/>
    </row>
    <row r="70">
      <c r="B70" s="8"/>
      <c r="C70" s="4"/>
      <c r="D70" s="4"/>
      <c r="G70" s="4"/>
      <c r="H70" s="4"/>
      <c r="J70" s="4"/>
      <c r="N70" s="4"/>
      <c r="V70" s="4"/>
    </row>
    <row r="71">
      <c r="B71" s="8"/>
      <c r="C71" s="4"/>
      <c r="D71" s="4"/>
      <c r="G71" s="4"/>
      <c r="H71" s="4"/>
      <c r="J71" s="4"/>
      <c r="N71" s="4"/>
      <c r="V71" s="4"/>
    </row>
    <row r="72">
      <c r="B72" s="8"/>
      <c r="C72" s="4"/>
      <c r="D72" s="4"/>
      <c r="G72" s="4"/>
      <c r="H72" s="4"/>
      <c r="J72" s="4"/>
      <c r="N72" s="4"/>
      <c r="V72" s="4"/>
    </row>
    <row r="73">
      <c r="B73" s="8"/>
      <c r="C73" s="4"/>
      <c r="D73" s="4"/>
      <c r="G73" s="4"/>
      <c r="H73" s="4"/>
      <c r="J73" s="4"/>
      <c r="N73" s="4"/>
    </row>
    <row r="74">
      <c r="B74" s="8"/>
      <c r="C74" s="4"/>
      <c r="D74" s="4"/>
      <c r="G74" s="4"/>
      <c r="H74" s="4"/>
      <c r="J74" s="4"/>
      <c r="N74" s="4"/>
    </row>
    <row r="75">
      <c r="B75" s="8"/>
      <c r="G75" s="4"/>
      <c r="H75" s="4"/>
      <c r="J75" s="4"/>
      <c r="N75" s="4"/>
    </row>
    <row r="76">
      <c r="B76" s="8"/>
      <c r="G76" s="4"/>
      <c r="H76" s="4"/>
      <c r="J76" s="4"/>
      <c r="N76" s="4"/>
    </row>
    <row r="77">
      <c r="B77" s="4"/>
      <c r="J77" s="4"/>
      <c r="N77" s="4"/>
    </row>
    <row r="78">
      <c r="A78" s="2" t="str">
        <f>B47+B74+F72+F50+F24+F17+J58</f>
        <v>#VALUE!</v>
      </c>
      <c r="B78" s="4"/>
      <c r="J78" s="4"/>
      <c r="N78" s="4"/>
    </row>
    <row r="79">
      <c r="B79" s="4"/>
      <c r="J79" s="4"/>
      <c r="N79" s="4"/>
    </row>
    <row r="80">
      <c r="B80" s="4"/>
      <c r="J80" s="4"/>
      <c r="N80" s="4"/>
    </row>
    <row r="81">
      <c r="B81" s="4"/>
      <c r="J81" s="4"/>
      <c r="N81" s="4"/>
    </row>
    <row r="82">
      <c r="B82" s="4"/>
      <c r="J82" s="4"/>
      <c r="N82" s="4"/>
    </row>
    <row r="83">
      <c r="B83" s="4"/>
      <c r="J83" s="4"/>
      <c r="N83" s="4"/>
    </row>
    <row r="84">
      <c r="B84" s="4"/>
      <c r="J84" s="4"/>
      <c r="N84" s="4"/>
    </row>
    <row r="85">
      <c r="B85" s="4"/>
      <c r="J85" s="4"/>
      <c r="N85" s="4"/>
    </row>
    <row r="86">
      <c r="B86" s="4"/>
      <c r="J86" s="4"/>
      <c r="N86" s="4"/>
    </row>
    <row r="87">
      <c r="B87" s="4"/>
      <c r="J87" s="4"/>
      <c r="N87" s="4"/>
    </row>
    <row r="88">
      <c r="B88" s="4"/>
      <c r="J88" s="4"/>
      <c r="N88" s="4"/>
    </row>
    <row r="89">
      <c r="B89" s="4"/>
      <c r="J89" s="4"/>
      <c r="N89" s="4"/>
    </row>
    <row r="90">
      <c r="B90" s="4"/>
      <c r="J90" s="4"/>
      <c r="N90" s="4"/>
    </row>
    <row r="91">
      <c r="B91" s="4"/>
      <c r="J91" s="4"/>
      <c r="N91" s="4"/>
    </row>
    <row r="92">
      <c r="B92" s="4"/>
      <c r="J92" s="4"/>
      <c r="N92" s="4"/>
    </row>
    <row r="93">
      <c r="B93" s="4"/>
      <c r="J93" s="4"/>
      <c r="N93" s="4"/>
    </row>
    <row r="94">
      <c r="B94" s="4"/>
      <c r="J94" s="4"/>
      <c r="N94" s="4"/>
    </row>
    <row r="95">
      <c r="B95" s="4"/>
      <c r="J95" s="4"/>
      <c r="N95" s="4"/>
    </row>
    <row r="96">
      <c r="B96" s="4"/>
      <c r="J96" s="4"/>
      <c r="N96" s="4"/>
    </row>
    <row r="97">
      <c r="B97" s="4"/>
      <c r="J97" s="4"/>
      <c r="N97" s="4"/>
    </row>
    <row r="98">
      <c r="B98" s="4"/>
      <c r="J98" s="4"/>
      <c r="N98" s="4"/>
    </row>
    <row r="99">
      <c r="B99" s="4"/>
      <c r="J99" s="4"/>
      <c r="N99" s="4"/>
    </row>
    <row r="100">
      <c r="B100" s="4"/>
      <c r="J100" s="4"/>
      <c r="N100" s="4"/>
    </row>
    <row r="101">
      <c r="B101" s="4"/>
      <c r="J101" s="4"/>
      <c r="N101" s="4"/>
    </row>
    <row r="102">
      <c r="B102" s="4"/>
      <c r="J102" s="4"/>
      <c r="N102" s="4"/>
    </row>
    <row r="103">
      <c r="B103" s="4"/>
      <c r="J103" s="4"/>
      <c r="N103" s="4"/>
    </row>
    <row r="104">
      <c r="B104" s="4"/>
      <c r="J104" s="4"/>
      <c r="N104" s="4"/>
    </row>
    <row r="105">
      <c r="B105" s="4"/>
      <c r="J105" s="4"/>
      <c r="N105" s="4"/>
    </row>
    <row r="106">
      <c r="B106" s="4"/>
      <c r="J106" s="4"/>
      <c r="N106" s="4"/>
    </row>
    <row r="107">
      <c r="B107" s="4"/>
      <c r="J107" s="4"/>
      <c r="N107" s="4"/>
    </row>
    <row r="108">
      <c r="B108" s="4"/>
      <c r="J108" s="4"/>
      <c r="N108" s="4"/>
    </row>
    <row r="109">
      <c r="B109" s="4"/>
      <c r="J109" s="4"/>
      <c r="N109" s="4"/>
    </row>
    <row r="110">
      <c r="B110" s="4"/>
      <c r="J110" s="4"/>
      <c r="N110" s="4"/>
    </row>
    <row r="111">
      <c r="B111" s="4"/>
      <c r="J111" s="4"/>
      <c r="N111" s="4"/>
    </row>
    <row r="112">
      <c r="B112" s="4"/>
      <c r="J112" s="4"/>
      <c r="N112" s="4"/>
    </row>
    <row r="113">
      <c r="B113" s="4"/>
      <c r="J113" s="4"/>
      <c r="N113" s="4"/>
    </row>
    <row r="114">
      <c r="B114" s="4"/>
      <c r="J114" s="4"/>
      <c r="N114" s="4"/>
    </row>
    <row r="115">
      <c r="B115" s="4"/>
      <c r="J115" s="4"/>
      <c r="N115" s="4"/>
    </row>
    <row r="116">
      <c r="B116" s="4"/>
      <c r="J116" s="4"/>
      <c r="N116" s="4"/>
    </row>
    <row r="117">
      <c r="B117" s="4"/>
      <c r="J117" s="4"/>
      <c r="N117" s="4"/>
    </row>
    <row r="118">
      <c r="B118" s="4"/>
      <c r="J118" s="4"/>
      <c r="N118" s="4"/>
    </row>
    <row r="119">
      <c r="B119" s="4"/>
      <c r="J119" s="4"/>
      <c r="N119" s="4"/>
    </row>
    <row r="120">
      <c r="B120" s="4"/>
      <c r="J120" s="4"/>
      <c r="N120" s="4"/>
    </row>
    <row r="121">
      <c r="B121" s="4"/>
      <c r="J121" s="4"/>
      <c r="N121" s="4"/>
    </row>
    <row r="122">
      <c r="B122" s="4"/>
      <c r="J122" s="4"/>
      <c r="N122" s="4"/>
    </row>
    <row r="123">
      <c r="B123" s="4"/>
      <c r="J123" s="4"/>
      <c r="N123" s="4"/>
    </row>
    <row r="124">
      <c r="B124" s="4"/>
      <c r="J124" s="4"/>
      <c r="N124" s="4"/>
    </row>
    <row r="125">
      <c r="B125" s="4"/>
      <c r="J125" s="4"/>
      <c r="N125" s="4"/>
    </row>
    <row r="126">
      <c r="B126" s="4"/>
      <c r="J126" s="4"/>
      <c r="N126" s="4"/>
    </row>
    <row r="127">
      <c r="B127" s="4"/>
      <c r="J127" s="4"/>
      <c r="N127" s="4"/>
    </row>
    <row r="128">
      <c r="B128" s="4"/>
      <c r="J128" s="4"/>
      <c r="N128" s="4"/>
    </row>
    <row r="129">
      <c r="B129" s="4"/>
      <c r="J129" s="4"/>
      <c r="N129" s="4"/>
    </row>
    <row r="130">
      <c r="B130" s="4"/>
      <c r="J130" s="4"/>
      <c r="N130" s="4"/>
    </row>
    <row r="131">
      <c r="B131" s="4"/>
      <c r="J131" s="4"/>
      <c r="N131" s="4"/>
    </row>
    <row r="132">
      <c r="B132" s="4"/>
      <c r="J132" s="4"/>
      <c r="N132" s="4"/>
    </row>
    <row r="133">
      <c r="B133" s="4"/>
      <c r="J133" s="4"/>
      <c r="N133" s="4"/>
    </row>
    <row r="134">
      <c r="B134" s="4"/>
      <c r="J134" s="4"/>
      <c r="N134" s="4"/>
    </row>
    <row r="135">
      <c r="B135" s="4"/>
      <c r="J135" s="4"/>
      <c r="N135" s="4"/>
    </row>
    <row r="136">
      <c r="B136" s="4"/>
      <c r="J136" s="4"/>
      <c r="N136" s="4"/>
    </row>
    <row r="137">
      <c r="B137" s="4"/>
      <c r="J137" s="4"/>
      <c r="N137" s="4"/>
    </row>
    <row r="138">
      <c r="B138" s="4"/>
      <c r="J138" s="4"/>
      <c r="N138" s="4"/>
    </row>
    <row r="139">
      <c r="B139" s="4"/>
      <c r="J139" s="4"/>
      <c r="N139" s="4"/>
    </row>
    <row r="140">
      <c r="B140" s="4"/>
      <c r="J140" s="4"/>
      <c r="N140" s="4"/>
    </row>
    <row r="141">
      <c r="B141" s="4"/>
      <c r="J141" s="4"/>
      <c r="N141" s="4"/>
    </row>
    <row r="142">
      <c r="B142" s="4"/>
      <c r="J142" s="4"/>
      <c r="N142" s="4"/>
    </row>
    <row r="143">
      <c r="B143" s="4"/>
      <c r="J143" s="4"/>
      <c r="N143" s="4"/>
    </row>
    <row r="144">
      <c r="B144" s="4"/>
      <c r="J144" s="4"/>
      <c r="N144" s="4"/>
    </row>
    <row r="145">
      <c r="B145" s="4"/>
      <c r="J145" s="4"/>
      <c r="N145" s="4"/>
    </row>
    <row r="146">
      <c r="B146" s="4"/>
      <c r="J146" s="4"/>
      <c r="N146" s="4"/>
    </row>
    <row r="147">
      <c r="B147" s="4"/>
      <c r="J147" s="4"/>
      <c r="N147" s="4"/>
    </row>
    <row r="148">
      <c r="B148" s="4"/>
      <c r="N148" s="4"/>
    </row>
    <row r="149">
      <c r="B149" s="4"/>
      <c r="N149" s="4"/>
    </row>
    <row r="150">
      <c r="B150" s="4"/>
      <c r="N150" s="4"/>
    </row>
    <row r="151">
      <c r="B151" s="4"/>
      <c r="N151" s="4"/>
    </row>
    <row r="152">
      <c r="B152" s="4"/>
      <c r="N152" s="4"/>
    </row>
    <row r="153">
      <c r="B153" s="4"/>
      <c r="N153" s="4"/>
    </row>
    <row r="154">
      <c r="B154" s="4"/>
      <c r="N154" s="4"/>
    </row>
    <row r="155">
      <c r="B155" s="4"/>
      <c r="N155" s="4"/>
    </row>
    <row r="156">
      <c r="B156" s="4"/>
      <c r="N156" s="4"/>
    </row>
    <row r="157">
      <c r="B157" s="4"/>
      <c r="N157" s="4"/>
    </row>
    <row r="158">
      <c r="B158" s="4"/>
      <c r="N158" s="4"/>
    </row>
    <row r="159">
      <c r="B159" s="4"/>
      <c r="N159" s="4"/>
    </row>
    <row r="160">
      <c r="B160" s="4"/>
      <c r="N160" s="4"/>
    </row>
    <row r="161">
      <c r="B161" s="4"/>
      <c r="N161" s="4"/>
    </row>
    <row r="162">
      <c r="B162" s="4"/>
      <c r="N162" s="4"/>
    </row>
    <row r="163">
      <c r="B163" s="4"/>
      <c r="N163" s="4"/>
    </row>
    <row r="164">
      <c r="B164" s="4"/>
      <c r="N164" s="4"/>
    </row>
    <row r="165">
      <c r="B165" s="4"/>
      <c r="N165" s="4"/>
    </row>
    <row r="166">
      <c r="B166" s="4"/>
      <c r="N166" s="4"/>
    </row>
    <row r="167">
      <c r="B167" s="4"/>
      <c r="N167" s="4"/>
    </row>
    <row r="168">
      <c r="B168" s="4"/>
      <c r="N168" s="4"/>
    </row>
    <row r="169">
      <c r="B169" s="4"/>
      <c r="N169" s="4"/>
    </row>
    <row r="170">
      <c r="B170" s="4"/>
      <c r="N170" s="4"/>
    </row>
    <row r="171">
      <c r="B171" s="4"/>
      <c r="N171" s="4"/>
    </row>
    <row r="172">
      <c r="B172" s="4"/>
      <c r="N172" s="4"/>
    </row>
    <row r="173">
      <c r="B173" s="4"/>
      <c r="N173" s="4"/>
    </row>
    <row r="174">
      <c r="B174" s="4"/>
      <c r="N174" s="4"/>
    </row>
    <row r="175">
      <c r="B175" s="4"/>
      <c r="N175" s="4"/>
    </row>
    <row r="176">
      <c r="B176" s="4"/>
      <c r="N176" s="4"/>
    </row>
    <row r="177">
      <c r="B177" s="4"/>
      <c r="N177" s="4"/>
    </row>
    <row r="178">
      <c r="B178" s="4"/>
      <c r="N178" s="4"/>
    </row>
    <row r="179">
      <c r="B179" s="4"/>
      <c r="N179" s="4"/>
    </row>
    <row r="180">
      <c r="B180" s="4"/>
      <c r="N180" s="4"/>
    </row>
    <row r="181">
      <c r="B181" s="4"/>
      <c r="N181" s="4"/>
    </row>
    <row r="182">
      <c r="B182" s="4"/>
      <c r="N182" s="4"/>
    </row>
    <row r="183">
      <c r="B183" s="4"/>
      <c r="N183" s="4"/>
    </row>
    <row r="184">
      <c r="B184" s="4"/>
      <c r="N184" s="4"/>
    </row>
    <row r="185">
      <c r="B185" s="4"/>
      <c r="N185" s="4"/>
    </row>
    <row r="186">
      <c r="B186" s="4"/>
      <c r="N186" s="4"/>
    </row>
    <row r="187">
      <c r="B187" s="4"/>
      <c r="N187" s="4"/>
    </row>
    <row r="188">
      <c r="B188" s="4"/>
      <c r="N188" s="4"/>
    </row>
    <row r="189">
      <c r="B189" s="4"/>
      <c r="N189" s="4"/>
    </row>
    <row r="190">
      <c r="B190" s="4"/>
      <c r="N190" s="4"/>
    </row>
    <row r="191">
      <c r="B191" s="4"/>
      <c r="N191" s="4"/>
    </row>
    <row r="192">
      <c r="B192" s="4"/>
      <c r="N192" s="4"/>
    </row>
  </sheetData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8.75"/>
    <col customWidth="1" min="3" max="3" width="18.13"/>
    <col customWidth="1" min="4" max="4" width="116.63"/>
    <col customWidth="1" min="6" max="6" width="18.13"/>
    <col customWidth="1" min="7" max="7" width="91.25"/>
    <col customWidth="1" min="9" max="9" width="18.13"/>
    <col customWidth="1" min="10" max="10" width="128.75"/>
    <col customWidth="1" min="14" max="14" width="128.75"/>
    <col customWidth="1" min="18" max="18" width="116.63"/>
    <col customWidth="1" min="22" max="22" width="128.75"/>
    <col customWidth="1" min="26" max="26" width="97.88"/>
  </cols>
  <sheetData>
    <row r="1"/>
    <row r="2">
      <c r="J2" s="4"/>
      <c r="N2" s="4"/>
      <c r="AB2" s="4"/>
    </row>
    <row r="3">
      <c r="J3" s="4"/>
      <c r="N3" s="4"/>
      <c r="AB3" s="4"/>
    </row>
    <row r="4">
      <c r="J4" s="4"/>
      <c r="N4" s="4"/>
      <c r="AB4" s="4"/>
    </row>
    <row r="5">
      <c r="J5" s="4"/>
      <c r="N5" s="4"/>
      <c r="AB5" s="4"/>
    </row>
    <row r="6">
      <c r="J6" s="4"/>
      <c r="N6" s="4"/>
      <c r="AB6" s="4"/>
    </row>
    <row r="7">
      <c r="J7" s="4"/>
      <c r="N7" s="4"/>
      <c r="AB7" s="4"/>
    </row>
    <row r="8">
      <c r="J8" s="4"/>
      <c r="N8" s="4"/>
      <c r="AB8" s="4"/>
    </row>
    <row r="9">
      <c r="J9" s="4"/>
      <c r="N9" s="4"/>
      <c r="AB9" s="4"/>
    </row>
    <row r="10">
      <c r="J10" s="4"/>
      <c r="N10" s="4"/>
      <c r="AB10" s="4"/>
    </row>
    <row r="11">
      <c r="J11" s="4"/>
      <c r="N11" s="4"/>
      <c r="AB11" s="4"/>
    </row>
    <row r="12">
      <c r="J12" s="4"/>
      <c r="N12" s="4"/>
      <c r="AB12" s="4"/>
    </row>
    <row r="13">
      <c r="J13" s="4"/>
      <c r="N13" s="4"/>
      <c r="AB13" s="4"/>
    </row>
    <row r="14">
      <c r="J14" s="4"/>
      <c r="N14" s="4"/>
      <c r="AB14" s="4"/>
    </row>
    <row r="15">
      <c r="J15" s="4"/>
      <c r="N15" s="4"/>
      <c r="AB15" s="4"/>
    </row>
    <row r="16">
      <c r="J16" s="4"/>
      <c r="N16" s="4"/>
      <c r="AB16" s="4"/>
    </row>
    <row r="17">
      <c r="J17" s="4"/>
      <c r="N17" s="4"/>
      <c r="AB17" s="4"/>
    </row>
    <row r="18">
      <c r="J18" s="4"/>
      <c r="N18" s="4"/>
      <c r="AB18" s="4"/>
    </row>
    <row r="19">
      <c r="J19" s="4"/>
      <c r="N19" s="4"/>
      <c r="AB19" s="4"/>
    </row>
    <row r="20">
      <c r="J20" s="4"/>
      <c r="N20" s="4"/>
      <c r="AB20" s="4"/>
    </row>
    <row r="21">
      <c r="J21" s="4"/>
      <c r="N21" s="4"/>
      <c r="AB21" s="4"/>
    </row>
    <row r="22">
      <c r="J22" s="4"/>
      <c r="N22" s="4"/>
      <c r="AB22" s="4"/>
    </row>
    <row r="23">
      <c r="N23" s="4"/>
      <c r="AB23" s="4"/>
    </row>
    <row r="24">
      <c r="J24" s="4"/>
      <c r="N24" s="4"/>
      <c r="AB24" s="4"/>
    </row>
    <row r="25">
      <c r="J25" s="4"/>
      <c r="AB25" s="4"/>
    </row>
    <row r="26">
      <c r="J26" s="4"/>
      <c r="AB26" s="4"/>
    </row>
    <row r="27">
      <c r="J27" s="4"/>
      <c r="AB27" s="4"/>
    </row>
    <row r="28">
      <c r="J28" s="4"/>
    </row>
    <row r="29">
      <c r="J29" s="4"/>
    </row>
    <row r="30">
      <c r="J30" s="4"/>
      <c r="AB30" s="4"/>
    </row>
    <row r="31">
      <c r="J31" s="4"/>
      <c r="AB31" s="4"/>
    </row>
    <row r="32">
      <c r="J32" s="4"/>
      <c r="AB32" s="4"/>
    </row>
    <row r="33">
      <c r="J33" s="4"/>
      <c r="AB33" s="4"/>
    </row>
    <row r="34">
      <c r="J34" s="4"/>
      <c r="AB34" s="4"/>
    </row>
    <row r="35">
      <c r="J35" s="4"/>
      <c r="AB35" s="4"/>
    </row>
    <row r="36">
      <c r="J36" s="4"/>
    </row>
    <row r="37">
      <c r="J37" s="4"/>
    </row>
    <row r="38">
      <c r="J38" s="4"/>
      <c r="AB38" s="4"/>
    </row>
    <row r="39">
      <c r="J39" s="4"/>
      <c r="AB39" s="4"/>
    </row>
    <row r="40">
      <c r="J40" s="4"/>
      <c r="AB40" s="4"/>
    </row>
    <row r="41">
      <c r="J41" s="4"/>
      <c r="AB41" s="4"/>
    </row>
    <row r="42">
      <c r="J42" s="4"/>
      <c r="AB42" s="4"/>
    </row>
    <row r="43">
      <c r="J43" s="4"/>
      <c r="AB43" s="4"/>
    </row>
    <row r="44">
      <c r="J44" s="4"/>
      <c r="AB44" s="4"/>
    </row>
    <row r="45">
      <c r="J45" s="4"/>
      <c r="AB45" s="4"/>
    </row>
    <row r="46">
      <c r="J46" s="4"/>
      <c r="AB46" s="4"/>
    </row>
    <row r="47">
      <c r="J47" s="4"/>
      <c r="AB47" s="4"/>
    </row>
    <row r="48">
      <c r="J48" s="4"/>
      <c r="AB48" s="4"/>
    </row>
    <row r="49">
      <c r="J49" s="4"/>
      <c r="AB49" s="4"/>
    </row>
    <row r="50">
      <c r="J50" s="4"/>
      <c r="AB50" s="4"/>
    </row>
    <row r="51">
      <c r="J51" s="4"/>
      <c r="AB51" s="4"/>
    </row>
    <row r="52">
      <c r="J52" s="4"/>
      <c r="AB52" s="4"/>
    </row>
    <row r="53">
      <c r="J53" s="4"/>
      <c r="AB53" s="4"/>
    </row>
    <row r="54">
      <c r="J54" s="4"/>
      <c r="AB54" s="4"/>
    </row>
    <row r="55">
      <c r="J55" s="4"/>
      <c r="AB55" s="4"/>
    </row>
    <row r="56">
      <c r="J56" s="4"/>
      <c r="AB56" s="4"/>
    </row>
    <row r="57">
      <c r="J57" s="4"/>
      <c r="AB57" s="4"/>
    </row>
    <row r="58">
      <c r="J58" s="4"/>
      <c r="AB58" s="4"/>
    </row>
    <row r="59">
      <c r="J59" s="4"/>
      <c r="AB59" s="4"/>
    </row>
    <row r="60">
      <c r="J60" s="4"/>
      <c r="AB60" s="4"/>
    </row>
    <row r="61">
      <c r="J61" s="4"/>
      <c r="AB61" s="4"/>
    </row>
    <row r="62">
      <c r="J62" s="4"/>
    </row>
    <row r="63">
      <c r="J63" s="4"/>
    </row>
    <row r="64">
      <c r="J64" s="4"/>
    </row>
    <row r="65">
      <c r="J65" s="4"/>
    </row>
    <row r="66">
      <c r="H66" s="4"/>
      <c r="L66" s="4"/>
      <c r="T66" s="4"/>
    </row>
    <row r="67">
      <c r="H67" s="4"/>
      <c r="L67" s="4"/>
      <c r="T67" s="4"/>
    </row>
    <row r="68">
      <c r="H68" s="4"/>
      <c r="L68" s="4"/>
      <c r="T68" s="4"/>
    </row>
    <row r="69">
      <c r="H69" s="4"/>
      <c r="L69" s="4"/>
      <c r="T69" s="4"/>
    </row>
    <row r="70">
      <c r="H70" s="4"/>
      <c r="L70" s="4"/>
      <c r="T70" s="4"/>
    </row>
    <row r="71">
      <c r="H71" s="4"/>
      <c r="L71" s="4"/>
      <c r="T71" s="4"/>
    </row>
    <row r="72">
      <c r="H72" s="4"/>
      <c r="L72" s="4"/>
      <c r="T72" s="4"/>
    </row>
    <row r="73">
      <c r="F73" s="4"/>
      <c r="H73" s="4"/>
      <c r="L73" s="4"/>
    </row>
    <row r="74">
      <c r="F74" s="4"/>
      <c r="H74" s="4"/>
      <c r="L74" s="4"/>
    </row>
    <row r="75">
      <c r="B75" s="8"/>
      <c r="F75" s="4"/>
      <c r="H75" s="4"/>
      <c r="L75" s="4"/>
    </row>
    <row r="76">
      <c r="B76" s="8"/>
      <c r="F76" s="4"/>
      <c r="H76" s="4"/>
      <c r="L76" s="4"/>
    </row>
    <row r="77">
      <c r="B77" s="4"/>
      <c r="H77" s="4"/>
      <c r="L77" s="4"/>
    </row>
    <row r="78">
      <c r="A78" s="7">
        <f>B47+B74+E72+E50+E24+E17+H58</f>
        <v>193</v>
      </c>
      <c r="B78" s="4"/>
      <c r="H78" s="4"/>
      <c r="L78" s="4"/>
    </row>
    <row r="79">
      <c r="B79" s="4"/>
      <c r="H79" s="4"/>
      <c r="L79" s="4"/>
    </row>
    <row r="80">
      <c r="B80" s="4"/>
      <c r="H80" s="4"/>
      <c r="L80" s="4"/>
    </row>
    <row r="81">
      <c r="B81" s="4"/>
      <c r="H81" s="4"/>
      <c r="L81" s="4"/>
    </row>
    <row r="82">
      <c r="B82" s="4"/>
      <c r="H82" s="4"/>
      <c r="L82" s="4"/>
    </row>
    <row r="83">
      <c r="B83" s="4"/>
      <c r="H83" s="4"/>
      <c r="L83" s="4"/>
    </row>
    <row r="84">
      <c r="B84" s="4"/>
      <c r="H84" s="4"/>
      <c r="L84" s="4"/>
    </row>
    <row r="85">
      <c r="B85" s="4"/>
      <c r="H85" s="4"/>
      <c r="L85" s="4"/>
    </row>
    <row r="86">
      <c r="B86" s="4"/>
      <c r="H86" s="4"/>
      <c r="L86" s="4"/>
    </row>
    <row r="87">
      <c r="B87" s="4"/>
      <c r="H87" s="4"/>
      <c r="L87" s="4"/>
    </row>
    <row r="88">
      <c r="B88" s="4"/>
      <c r="H88" s="4"/>
      <c r="L88" s="4"/>
    </row>
    <row r="89">
      <c r="B89" s="4"/>
      <c r="H89" s="4"/>
      <c r="L89" s="4"/>
    </row>
    <row r="90">
      <c r="B90" s="4"/>
      <c r="H90" s="4"/>
      <c r="L90" s="4"/>
    </row>
    <row r="91">
      <c r="B91" s="4"/>
      <c r="H91" s="4"/>
      <c r="L91" s="4"/>
    </row>
    <row r="92">
      <c r="B92" s="4"/>
      <c r="H92" s="4"/>
      <c r="L92" s="4"/>
    </row>
    <row r="93">
      <c r="B93" s="4"/>
      <c r="H93" s="4"/>
      <c r="L93" s="4"/>
    </row>
    <row r="94">
      <c r="B94" s="4"/>
      <c r="H94" s="4"/>
      <c r="L94" s="4"/>
    </row>
    <row r="95">
      <c r="B95" s="4"/>
      <c r="H95" s="4"/>
      <c r="L95" s="4"/>
    </row>
    <row r="96">
      <c r="B96" s="4"/>
      <c r="H96" s="4"/>
      <c r="L96" s="4"/>
    </row>
    <row r="97">
      <c r="B97" s="4"/>
      <c r="H97" s="4"/>
      <c r="L97" s="4"/>
    </row>
    <row r="98">
      <c r="B98" s="4"/>
      <c r="H98" s="4"/>
      <c r="L98" s="4"/>
    </row>
    <row r="99">
      <c r="B99" s="4"/>
      <c r="H99" s="4"/>
      <c r="L99" s="4"/>
    </row>
    <row r="100">
      <c r="B100" s="4"/>
      <c r="H100" s="4"/>
      <c r="L100" s="4"/>
    </row>
    <row r="101">
      <c r="B101" s="4"/>
      <c r="H101" s="4"/>
      <c r="L101" s="4"/>
    </row>
    <row r="102">
      <c r="B102" s="4"/>
      <c r="H102" s="4"/>
      <c r="L102" s="4"/>
    </row>
    <row r="103">
      <c r="B103" s="4"/>
      <c r="H103" s="4"/>
      <c r="L103" s="4"/>
    </row>
    <row r="104">
      <c r="B104" s="4"/>
      <c r="H104" s="4"/>
      <c r="L104" s="4"/>
    </row>
    <row r="105">
      <c r="B105" s="4"/>
      <c r="H105" s="4"/>
      <c r="L105" s="4"/>
    </row>
    <row r="106">
      <c r="B106" s="4"/>
      <c r="H106" s="4"/>
      <c r="L106" s="4"/>
    </row>
    <row r="107">
      <c r="B107" s="4"/>
      <c r="H107" s="4"/>
      <c r="L107" s="4"/>
    </row>
    <row r="108">
      <c r="B108" s="4"/>
      <c r="H108" s="4"/>
      <c r="L108" s="4"/>
    </row>
    <row r="109">
      <c r="B109" s="4"/>
      <c r="H109" s="4"/>
      <c r="L109" s="4"/>
    </row>
    <row r="110">
      <c r="B110" s="4"/>
      <c r="H110" s="4"/>
      <c r="L110" s="4"/>
    </row>
    <row r="111">
      <c r="B111" s="4"/>
      <c r="H111" s="4"/>
      <c r="L111" s="4"/>
    </row>
    <row r="112">
      <c r="B112" s="4"/>
      <c r="H112" s="4"/>
      <c r="L112" s="4"/>
    </row>
    <row r="113">
      <c r="B113" s="4"/>
      <c r="H113" s="4"/>
      <c r="L113" s="4"/>
    </row>
    <row r="114">
      <c r="B114" s="4"/>
      <c r="H114" s="4"/>
      <c r="L114" s="4"/>
    </row>
    <row r="115">
      <c r="B115" s="4"/>
      <c r="H115" s="4"/>
      <c r="L115" s="4"/>
    </row>
    <row r="116">
      <c r="B116" s="4"/>
      <c r="H116" s="4"/>
      <c r="L116" s="4"/>
    </row>
    <row r="117">
      <c r="B117" s="4"/>
      <c r="H117" s="4"/>
      <c r="L117" s="4"/>
    </row>
    <row r="118">
      <c r="B118" s="4"/>
      <c r="H118" s="4"/>
      <c r="L118" s="4"/>
    </row>
    <row r="119">
      <c r="B119" s="4"/>
      <c r="H119" s="4"/>
      <c r="L119" s="4"/>
    </row>
    <row r="120">
      <c r="B120" s="4"/>
      <c r="H120" s="4"/>
      <c r="L120" s="4"/>
    </row>
    <row r="121">
      <c r="B121" s="4"/>
      <c r="H121" s="4"/>
      <c r="L121" s="4"/>
    </row>
    <row r="122">
      <c r="B122" s="4"/>
      <c r="H122" s="4"/>
      <c r="L122" s="4"/>
    </row>
    <row r="123">
      <c r="B123" s="4"/>
      <c r="H123" s="4"/>
      <c r="L123" s="4"/>
    </row>
    <row r="124">
      <c r="B124" s="4"/>
      <c r="H124" s="4"/>
      <c r="L124" s="4"/>
    </row>
    <row r="125">
      <c r="B125" s="4"/>
      <c r="H125" s="4"/>
      <c r="L125" s="4"/>
    </row>
    <row r="126">
      <c r="B126" s="4"/>
      <c r="H126" s="4"/>
      <c r="L126" s="4"/>
    </row>
    <row r="127">
      <c r="B127" s="4"/>
      <c r="H127" s="4"/>
      <c r="L127" s="4"/>
    </row>
    <row r="128">
      <c r="B128" s="4"/>
      <c r="H128" s="4"/>
      <c r="L128" s="4"/>
    </row>
    <row r="129">
      <c r="B129" s="4"/>
      <c r="H129" s="4"/>
      <c r="L129" s="4"/>
    </row>
    <row r="130">
      <c r="B130" s="4"/>
      <c r="H130" s="4"/>
      <c r="L130" s="4"/>
    </row>
    <row r="131">
      <c r="B131" s="4"/>
      <c r="H131" s="4"/>
      <c r="L131" s="4"/>
    </row>
    <row r="132">
      <c r="B132" s="4"/>
      <c r="H132" s="4"/>
      <c r="L132" s="4"/>
    </row>
    <row r="133">
      <c r="B133" s="4"/>
      <c r="H133" s="4"/>
      <c r="L133" s="4"/>
    </row>
    <row r="134">
      <c r="B134" s="4"/>
      <c r="H134" s="4"/>
      <c r="L134" s="4"/>
    </row>
    <row r="135">
      <c r="B135" s="4"/>
      <c r="H135" s="4"/>
      <c r="L135" s="4"/>
    </row>
    <row r="136">
      <c r="B136" s="4"/>
      <c r="H136" s="4"/>
      <c r="L136" s="4"/>
    </row>
    <row r="137">
      <c r="B137" s="4"/>
      <c r="H137" s="4"/>
      <c r="L137" s="4"/>
    </row>
    <row r="138">
      <c r="B138" s="4"/>
      <c r="H138" s="4"/>
      <c r="L138" s="4"/>
    </row>
    <row r="139">
      <c r="B139" s="4"/>
      <c r="H139" s="4"/>
      <c r="L139" s="4"/>
    </row>
    <row r="140">
      <c r="B140" s="4"/>
      <c r="H140" s="4"/>
      <c r="L140" s="4"/>
    </row>
    <row r="141">
      <c r="B141" s="4"/>
      <c r="H141" s="4"/>
      <c r="L141" s="4"/>
    </row>
    <row r="142">
      <c r="B142" s="4"/>
      <c r="H142" s="4"/>
      <c r="L142" s="4"/>
    </row>
    <row r="143">
      <c r="B143" s="4"/>
      <c r="H143" s="4"/>
      <c r="L143" s="4"/>
    </row>
    <row r="144">
      <c r="B144" s="4"/>
      <c r="H144" s="4"/>
      <c r="L144" s="4"/>
    </row>
    <row r="145">
      <c r="B145" s="4"/>
      <c r="H145" s="4"/>
      <c r="L145" s="4"/>
    </row>
    <row r="146">
      <c r="B146" s="4"/>
      <c r="H146" s="4"/>
      <c r="L146" s="4"/>
    </row>
    <row r="147">
      <c r="B147" s="4"/>
      <c r="H147" s="4"/>
      <c r="L147" s="4"/>
    </row>
    <row r="148">
      <c r="B148" s="4"/>
      <c r="L148" s="4"/>
    </row>
    <row r="149">
      <c r="B149" s="4"/>
      <c r="L149" s="4"/>
    </row>
    <row r="150">
      <c r="B150" s="4"/>
      <c r="L150" s="4"/>
    </row>
    <row r="151">
      <c r="B151" s="4"/>
      <c r="L151" s="4"/>
    </row>
    <row r="152">
      <c r="B152" s="4"/>
      <c r="L152" s="4"/>
    </row>
    <row r="153">
      <c r="B153" s="4"/>
      <c r="L153" s="4"/>
    </row>
    <row r="154">
      <c r="B154" s="4"/>
      <c r="L154" s="4"/>
    </row>
    <row r="155">
      <c r="B155" s="4"/>
      <c r="L155" s="4"/>
    </row>
    <row r="156">
      <c r="B156" s="4"/>
      <c r="L156" s="4"/>
    </row>
    <row r="157">
      <c r="B157" s="4"/>
      <c r="L157" s="4"/>
    </row>
    <row r="158">
      <c r="B158" s="4"/>
      <c r="L158" s="4"/>
    </row>
    <row r="159">
      <c r="B159" s="4"/>
      <c r="L159" s="4"/>
    </row>
    <row r="160">
      <c r="B160" s="4"/>
      <c r="L160" s="4"/>
    </row>
    <row r="161">
      <c r="B161" s="4"/>
      <c r="L161" s="4"/>
    </row>
    <row r="162">
      <c r="B162" s="4"/>
      <c r="L162" s="4"/>
    </row>
    <row r="163">
      <c r="B163" s="4"/>
      <c r="L163" s="4"/>
    </row>
    <row r="164">
      <c r="B164" s="4"/>
      <c r="L164" s="4"/>
    </row>
    <row r="165">
      <c r="B165" s="4"/>
      <c r="L165" s="4"/>
    </row>
    <row r="166">
      <c r="B166" s="4"/>
      <c r="L166" s="4"/>
    </row>
    <row r="167">
      <c r="B167" s="4"/>
      <c r="L167" s="4"/>
    </row>
    <row r="168">
      <c r="B168" s="4"/>
      <c r="L168" s="4"/>
    </row>
    <row r="169">
      <c r="B169" s="4"/>
      <c r="L169" s="4"/>
    </row>
    <row r="170">
      <c r="B170" s="4"/>
      <c r="L170" s="4"/>
    </row>
    <row r="171">
      <c r="B171" s="4"/>
      <c r="L171" s="4"/>
    </row>
    <row r="172">
      <c r="B172" s="4"/>
      <c r="L172" s="4"/>
    </row>
    <row r="173">
      <c r="B173" s="4"/>
      <c r="L173" s="4"/>
    </row>
    <row r="174">
      <c r="B174" s="4"/>
      <c r="L174" s="4"/>
    </row>
    <row r="175">
      <c r="B175" s="4"/>
      <c r="L175" s="4"/>
    </row>
    <row r="176">
      <c r="B176" s="4"/>
      <c r="L176" s="4"/>
    </row>
    <row r="177">
      <c r="B177" s="4"/>
      <c r="L177" s="4"/>
    </row>
    <row r="178">
      <c r="B178" s="4"/>
      <c r="L178" s="4"/>
    </row>
    <row r="179">
      <c r="B179" s="4"/>
      <c r="L179" s="4"/>
    </row>
    <row r="180">
      <c r="B180" s="4"/>
      <c r="L180" s="4"/>
    </row>
    <row r="181">
      <c r="B181" s="4"/>
      <c r="L181" s="4"/>
    </row>
    <row r="182">
      <c r="B182" s="4"/>
      <c r="L182" s="4"/>
    </row>
    <row r="183">
      <c r="B183" s="4"/>
      <c r="L183" s="4"/>
    </row>
    <row r="184">
      <c r="B184" s="4"/>
      <c r="L184" s="4"/>
    </row>
    <row r="185">
      <c r="B185" s="4"/>
      <c r="L185" s="4"/>
    </row>
    <row r="186">
      <c r="B186" s="4"/>
      <c r="L186" s="4"/>
    </row>
    <row r="187">
      <c r="B187" s="4"/>
      <c r="L187" s="4"/>
    </row>
    <row r="188">
      <c r="B188" s="4"/>
      <c r="L188" s="4"/>
    </row>
    <row r="189">
      <c r="B189" s="4"/>
      <c r="L189" s="4"/>
    </row>
    <row r="190">
      <c r="B190" s="4"/>
      <c r="L190" s="4"/>
    </row>
    <row r="191">
      <c r="B191" s="4"/>
      <c r="L191" s="4"/>
    </row>
    <row r="192">
      <c r="B192" s="4"/>
      <c r="L192" s="4"/>
    </row>
  </sheetData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8.75"/>
    <col customWidth="1" min="3" max="3" width="18.13"/>
    <col customWidth="1" min="7" max="7" width="18.13"/>
    <col customWidth="1" min="9" max="9" width="181.88"/>
    <col customWidth="1" min="10" max="10" width="18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</sheetData>
  <autoFilter ref="$I$1:$J$4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</sheetData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10" width="13.5"/>
    <col customWidth="1" min="11" max="14" width="14.38"/>
  </cols>
  <sheetData>
    <row r="6" ht="22.5" customHeight="1">
      <c r="A6" s="34" t="s">
        <v>1568</v>
      </c>
      <c r="B6" s="15" t="s">
        <v>1528</v>
      </c>
      <c r="C6" s="15" t="s">
        <v>1569</v>
      </c>
      <c r="D6" s="15" t="s">
        <v>1570</v>
      </c>
      <c r="E6" s="15" t="s">
        <v>1571</v>
      </c>
      <c r="F6" s="15" t="s">
        <v>1572</v>
      </c>
      <c r="G6" s="15" t="s">
        <v>1573</v>
      </c>
      <c r="H6" s="15" t="s">
        <v>1574</v>
      </c>
      <c r="I6" s="15" t="s">
        <v>1575</v>
      </c>
      <c r="J6" s="15" t="s">
        <v>1576</v>
      </c>
      <c r="K6" s="15" t="s">
        <v>1577</v>
      </c>
      <c r="L6" s="15" t="s">
        <v>1578</v>
      </c>
      <c r="M6" s="15" t="s">
        <v>1579</v>
      </c>
      <c r="N6" s="15" t="s">
        <v>1580</v>
      </c>
    </row>
    <row r="7" ht="22.5" customHeight="1">
      <c r="A7" s="22"/>
      <c r="B7" s="18" t="s">
        <v>1581</v>
      </c>
      <c r="C7" s="18" t="s">
        <v>1582</v>
      </c>
      <c r="D7" s="18" t="s">
        <v>1583</v>
      </c>
      <c r="E7" s="18" t="s">
        <v>1584</v>
      </c>
      <c r="F7" s="18" t="s">
        <v>1585</v>
      </c>
      <c r="G7" s="18" t="s">
        <v>1586</v>
      </c>
      <c r="H7" s="18" t="s">
        <v>1587</v>
      </c>
      <c r="I7" s="18" t="s">
        <v>1588</v>
      </c>
      <c r="J7" s="18" t="s">
        <v>1589</v>
      </c>
      <c r="K7" s="18" t="s">
        <v>1590</v>
      </c>
      <c r="L7" s="18" t="s">
        <v>1591</v>
      </c>
      <c r="M7" s="18" t="s">
        <v>1592</v>
      </c>
      <c r="N7" s="18" t="s">
        <v>1535</v>
      </c>
    </row>
    <row r="8" ht="22.5" customHeight="1">
      <c r="A8" s="18" t="s">
        <v>1593</v>
      </c>
      <c r="B8" s="22">
        <f>semestre1_2024!D9</f>
        <v>7</v>
      </c>
      <c r="C8" s="22">
        <f>semestre1_2024!I8</f>
        <v>6</v>
      </c>
      <c r="D8" s="22">
        <f>semestre1_2024!N5</f>
        <v>3</v>
      </c>
      <c r="E8" s="22">
        <f>semestre1_2024!D16</f>
        <v>5</v>
      </c>
      <c r="F8" s="22">
        <f>semestre1_2024!I20</f>
        <v>10</v>
      </c>
      <c r="G8" s="22">
        <f>semestre1_2024!N17</f>
        <v>10</v>
      </c>
      <c r="H8" s="22">
        <f>semestre2_2024!D19</f>
        <v>17</v>
      </c>
      <c r="I8" s="22">
        <f>semestre2_2024!I12</f>
        <v>10</v>
      </c>
      <c r="J8" s="22">
        <f>semestre2_2024!N12</f>
        <v>10</v>
      </c>
      <c r="K8" s="22">
        <f>semestre2_2024!D24</f>
        <v>3</v>
      </c>
      <c r="L8" s="22">
        <f>semestre2_2024!I23</f>
        <v>9</v>
      </c>
      <c r="M8" s="22">
        <f>semestre2_2024!N20</f>
        <v>6</v>
      </c>
      <c r="N8" s="22">
        <f t="shared" ref="N8:N9" si="2">SUM(B8:M8)</f>
        <v>96</v>
      </c>
    </row>
    <row r="9" ht="22.5" customHeight="1">
      <c r="A9" s="18" t="s">
        <v>1594</v>
      </c>
      <c r="B9" s="19">
        <f t="shared" ref="B9:M9" si="1">B8/$N$8</f>
        <v>0.07291666667</v>
      </c>
      <c r="C9" s="19">
        <f t="shared" si="1"/>
        <v>0.0625</v>
      </c>
      <c r="D9" s="19">
        <f t="shared" si="1"/>
        <v>0.03125</v>
      </c>
      <c r="E9" s="19">
        <f t="shared" si="1"/>
        <v>0.05208333333</v>
      </c>
      <c r="F9" s="19">
        <f t="shared" si="1"/>
        <v>0.1041666667</v>
      </c>
      <c r="G9" s="19">
        <f t="shared" si="1"/>
        <v>0.1041666667</v>
      </c>
      <c r="H9" s="19">
        <f t="shared" si="1"/>
        <v>0.1770833333</v>
      </c>
      <c r="I9" s="19">
        <f t="shared" si="1"/>
        <v>0.1041666667</v>
      </c>
      <c r="J9" s="19">
        <f t="shared" si="1"/>
        <v>0.1041666667</v>
      </c>
      <c r="K9" s="19">
        <f t="shared" si="1"/>
        <v>0.03125</v>
      </c>
      <c r="L9" s="19">
        <f t="shared" si="1"/>
        <v>0.09375</v>
      </c>
      <c r="M9" s="19">
        <f t="shared" si="1"/>
        <v>0.0625</v>
      </c>
      <c r="N9" s="19">
        <f t="shared" si="2"/>
        <v>1</v>
      </c>
    </row>
    <row r="10" ht="22.5" customHeight="1">
      <c r="A10" s="18" t="s">
        <v>1538</v>
      </c>
      <c r="B10" s="19">
        <f>B9</f>
        <v>0.07291666667</v>
      </c>
      <c r="C10" s="19">
        <f t="shared" ref="C10:M10" si="3">B10+C9</f>
        <v>0.1354166667</v>
      </c>
      <c r="D10" s="19">
        <f t="shared" si="3"/>
        <v>0.1666666667</v>
      </c>
      <c r="E10" s="19">
        <f t="shared" si="3"/>
        <v>0.21875</v>
      </c>
      <c r="F10" s="19">
        <f t="shared" si="3"/>
        <v>0.3229166667</v>
      </c>
      <c r="G10" s="19">
        <f t="shared" si="3"/>
        <v>0.4270833333</v>
      </c>
      <c r="H10" s="19">
        <f t="shared" si="3"/>
        <v>0.6041666667</v>
      </c>
      <c r="I10" s="19">
        <f t="shared" si="3"/>
        <v>0.7083333333</v>
      </c>
      <c r="J10" s="19">
        <f t="shared" si="3"/>
        <v>0.8125</v>
      </c>
      <c r="K10" s="19">
        <f t="shared" si="3"/>
        <v>0.84375</v>
      </c>
      <c r="L10" s="19">
        <f t="shared" si="3"/>
        <v>0.9375</v>
      </c>
      <c r="M10" s="19">
        <f t="shared" si="3"/>
        <v>1</v>
      </c>
      <c r="N10" s="22"/>
    </row>
    <row r="12">
      <c r="O12" s="2">
        <f>N8+N15</f>
        <v>193</v>
      </c>
    </row>
    <row r="13" ht="22.5" customHeight="1">
      <c r="A13" s="34" t="s">
        <v>1595</v>
      </c>
      <c r="B13" s="15" t="s">
        <v>1528</v>
      </c>
      <c r="C13" s="15" t="s">
        <v>1569</v>
      </c>
      <c r="D13" s="15" t="s">
        <v>1570</v>
      </c>
      <c r="E13" s="15" t="s">
        <v>1571</v>
      </c>
      <c r="F13" s="15" t="s">
        <v>1572</v>
      </c>
      <c r="G13" s="15" t="s">
        <v>1573</v>
      </c>
      <c r="H13" s="15" t="s">
        <v>1574</v>
      </c>
      <c r="I13" s="15" t="s">
        <v>1575</v>
      </c>
      <c r="J13" s="15" t="s">
        <v>1576</v>
      </c>
      <c r="K13" s="15" t="s">
        <v>1577</v>
      </c>
      <c r="L13" s="15" t="s">
        <v>1578</v>
      </c>
      <c r="M13" s="15" t="s">
        <v>1579</v>
      </c>
      <c r="N13" s="15" t="s">
        <v>1580</v>
      </c>
    </row>
    <row r="14" ht="22.5" customHeight="1">
      <c r="A14" s="22"/>
      <c r="B14" s="18" t="s">
        <v>1581</v>
      </c>
      <c r="C14" s="18" t="s">
        <v>1582</v>
      </c>
      <c r="D14" s="18" t="s">
        <v>1583</v>
      </c>
      <c r="E14" s="18" t="s">
        <v>1584</v>
      </c>
      <c r="F14" s="18" t="s">
        <v>1585</v>
      </c>
      <c r="G14" s="18" t="s">
        <v>1586</v>
      </c>
      <c r="H14" s="18" t="s">
        <v>1587</v>
      </c>
      <c r="I14" s="18" t="s">
        <v>1588</v>
      </c>
      <c r="J14" s="18" t="s">
        <v>1589</v>
      </c>
      <c r="K14" s="18" t="s">
        <v>1590</v>
      </c>
      <c r="L14" s="18" t="s">
        <v>1591</v>
      </c>
      <c r="M14" s="18" t="s">
        <v>1592</v>
      </c>
      <c r="N14" s="18" t="s">
        <v>1535</v>
      </c>
    </row>
    <row r="15" ht="22.5" customHeight="1">
      <c r="A15" s="18" t="s">
        <v>1593</v>
      </c>
      <c r="B15" s="22">
        <f>semestre1_2025!D8</f>
        <v>6</v>
      </c>
      <c r="C15" s="22">
        <f>semestre1_2025!H5</f>
        <v>3</v>
      </c>
      <c r="D15" s="22">
        <f>semestre1_2025!L8</f>
        <v>6</v>
      </c>
      <c r="E15" s="22">
        <f>semestre1_2025!C31</f>
        <v>21</v>
      </c>
      <c r="F15" s="22">
        <f>semestre1_2025!H11</f>
        <v>4</v>
      </c>
      <c r="G15" s="22">
        <f>semestre1_2025!L32</f>
        <v>14</v>
      </c>
      <c r="H15" s="22">
        <f>semestre2_2025!D15</f>
        <v>13</v>
      </c>
      <c r="I15" s="22">
        <f>semestre2_2025!H5</f>
        <v>3</v>
      </c>
      <c r="J15" s="22">
        <f>semestre2_2025!L15</f>
        <v>13</v>
      </c>
      <c r="K15" s="22">
        <f>semestre2_2025!C26</f>
        <v>9</v>
      </c>
      <c r="L15" s="22">
        <f>semestre2_2025!H9</f>
        <v>2</v>
      </c>
      <c r="M15" s="22">
        <f>semestre2_2025!L20</f>
        <v>3</v>
      </c>
      <c r="N15" s="22">
        <f>SUM(B15:M15)</f>
        <v>97</v>
      </c>
    </row>
    <row r="16" ht="22.5" customHeight="1">
      <c r="A16" s="18" t="s">
        <v>1594</v>
      </c>
      <c r="B16" s="19">
        <f t="shared" ref="B16:N16" si="4">B15/$N$15</f>
        <v>0.0618556701</v>
      </c>
      <c r="C16" s="19">
        <f t="shared" si="4"/>
        <v>0.03092783505</v>
      </c>
      <c r="D16" s="19">
        <f t="shared" si="4"/>
        <v>0.0618556701</v>
      </c>
      <c r="E16" s="19">
        <f t="shared" si="4"/>
        <v>0.2164948454</v>
      </c>
      <c r="F16" s="19">
        <f t="shared" si="4"/>
        <v>0.0412371134</v>
      </c>
      <c r="G16" s="19">
        <f t="shared" si="4"/>
        <v>0.1443298969</v>
      </c>
      <c r="H16" s="19">
        <f t="shared" si="4"/>
        <v>0.1340206186</v>
      </c>
      <c r="I16" s="19">
        <f t="shared" si="4"/>
        <v>0.03092783505</v>
      </c>
      <c r="J16" s="19">
        <f t="shared" si="4"/>
        <v>0.1340206186</v>
      </c>
      <c r="K16" s="19">
        <f t="shared" si="4"/>
        <v>0.09278350515</v>
      </c>
      <c r="L16" s="19">
        <f t="shared" si="4"/>
        <v>0.0206185567</v>
      </c>
      <c r="M16" s="19">
        <f t="shared" si="4"/>
        <v>0.03092783505</v>
      </c>
      <c r="N16" s="19">
        <f t="shared" si="4"/>
        <v>1</v>
      </c>
    </row>
    <row r="17" ht="22.5" customHeight="1">
      <c r="A17" s="18" t="s">
        <v>1538</v>
      </c>
      <c r="B17" s="19">
        <f>B16</f>
        <v>0.0618556701</v>
      </c>
      <c r="C17" s="19">
        <f t="shared" ref="C17:M17" si="5">B17+C16</f>
        <v>0.09278350515</v>
      </c>
      <c r="D17" s="19">
        <f t="shared" si="5"/>
        <v>0.1546391753</v>
      </c>
      <c r="E17" s="19">
        <f t="shared" si="5"/>
        <v>0.3711340206</v>
      </c>
      <c r="F17" s="19">
        <f t="shared" si="5"/>
        <v>0.412371134</v>
      </c>
      <c r="G17" s="19">
        <f t="shared" si="5"/>
        <v>0.5567010309</v>
      </c>
      <c r="H17" s="19">
        <f t="shared" si="5"/>
        <v>0.6907216495</v>
      </c>
      <c r="I17" s="19">
        <f t="shared" si="5"/>
        <v>0.7216494845</v>
      </c>
      <c r="J17" s="19">
        <f t="shared" si="5"/>
        <v>0.8556701031</v>
      </c>
      <c r="K17" s="19">
        <f t="shared" si="5"/>
        <v>0.9484536082</v>
      </c>
      <c r="L17" s="19">
        <f t="shared" si="5"/>
        <v>0.9690721649</v>
      </c>
      <c r="M17" s="19">
        <f t="shared" si="5"/>
        <v>1</v>
      </c>
      <c r="N17" s="22"/>
    </row>
  </sheetData>
  <drawing r:id="rId1"/>
  <tableParts count="2">
    <tablePart r:id="rId4"/>
    <tablePart r:id="rId5"/>
  </tableParts>
</worksheet>
</file>